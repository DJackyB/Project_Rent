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Height="17655" tabRatio="600" firstSheet="0" activeTab="1" autoFilterDateGrouping="1"/>
  </bookViews>
  <sheets>
    <sheet name="CardData" sheetId="1" state="visible" r:id="rId1"/>
    <sheet name="CardLibrary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3">
    <font>
      <name val="宋体"/>
      <charset val="134"/>
      <color indexed="8"/>
      <sz val="11"/>
      <scheme val="minor"/>
    </font>
    <font>
      <name val="宋体"/>
      <charset val="134"/>
      <b val="1"/>
      <color theme="0"/>
      <sz val="11"/>
      <scheme val="minor"/>
    </font>
    <font>
      <name val="宋体"/>
      <charset val="134"/>
      <b val="1"/>
      <color indexed="8"/>
      <sz val="11"/>
      <scheme val="minor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41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/>
      <bottom/>
      <diagonal/>
    </border>
  </borders>
  <cellStyleXfs count="49">
    <xf numFmtId="0" fontId="0" fillId="0" borderId="0"/>
    <xf numFmtId="43" fontId="3" fillId="0" borderId="0" applyAlignment="1">
      <alignment vertical="center"/>
    </xf>
    <xf numFmtId="44" fontId="3" fillId="0" borderId="0" applyAlignment="1">
      <alignment vertical="center"/>
    </xf>
    <xf numFmtId="9" fontId="3" fillId="0" borderId="0" applyAlignment="1">
      <alignment vertical="center"/>
    </xf>
    <xf numFmtId="41" fontId="3" fillId="0" borderId="0" applyAlignment="1">
      <alignment vertical="center"/>
    </xf>
    <xf numFmtId="42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3" fillId="10" borderId="4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5" applyAlignment="1">
      <alignment vertical="center"/>
    </xf>
    <xf numFmtId="0" fontId="10" fillId="0" borderId="5" applyAlignment="1">
      <alignment vertical="center"/>
    </xf>
    <xf numFmtId="0" fontId="11" fillId="0" borderId="6" applyAlignment="1">
      <alignment vertical="center"/>
    </xf>
    <xf numFmtId="0" fontId="11" fillId="0" borderId="0" applyAlignment="1">
      <alignment vertical="center"/>
    </xf>
    <xf numFmtId="0" fontId="12" fillId="11" borderId="7" applyAlignment="1">
      <alignment vertical="center"/>
    </xf>
    <xf numFmtId="0" fontId="13" fillId="12" borderId="8" applyAlignment="1">
      <alignment vertical="center"/>
    </xf>
    <xf numFmtId="0" fontId="14" fillId="12" borderId="7" applyAlignment="1">
      <alignment vertical="center"/>
    </xf>
    <xf numFmtId="0" fontId="15" fillId="13" borderId="9" applyAlignment="1">
      <alignment vertical="center"/>
    </xf>
    <xf numFmtId="0" fontId="16" fillId="0" borderId="10" applyAlignment="1">
      <alignment vertical="center"/>
    </xf>
    <xf numFmtId="0" fontId="17" fillId="0" borderId="11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20" fillId="16" borderId="0" applyAlignment="1">
      <alignment vertical="center"/>
    </xf>
    <xf numFmtId="0" fontId="21" fillId="17" borderId="0" applyAlignment="1">
      <alignment vertical="center"/>
    </xf>
    <xf numFmtId="0" fontId="22" fillId="18" borderId="0" applyAlignment="1">
      <alignment vertical="center"/>
    </xf>
    <xf numFmtId="0" fontId="22" fillId="19" borderId="0" applyAlignment="1">
      <alignment vertical="center"/>
    </xf>
    <xf numFmtId="0" fontId="21" fillId="20" borderId="0" applyAlignment="1">
      <alignment vertical="center"/>
    </xf>
    <xf numFmtId="0" fontId="21" fillId="21" borderId="0" applyAlignment="1">
      <alignment vertical="center"/>
    </xf>
    <xf numFmtId="0" fontId="22" fillId="22" borderId="0" applyAlignment="1">
      <alignment vertical="center"/>
    </xf>
    <xf numFmtId="0" fontId="22" fillId="23" borderId="0" applyAlignment="1">
      <alignment vertical="center"/>
    </xf>
    <xf numFmtId="0" fontId="21" fillId="24" borderId="0" applyAlignment="1">
      <alignment vertical="center"/>
    </xf>
    <xf numFmtId="0" fontId="21" fillId="25" borderId="0" applyAlignment="1">
      <alignment vertical="center"/>
    </xf>
    <xf numFmtId="0" fontId="22" fillId="26" borderId="0" applyAlignment="1">
      <alignment vertical="center"/>
    </xf>
    <xf numFmtId="0" fontId="22" fillId="27" borderId="0" applyAlignment="1">
      <alignment vertical="center"/>
    </xf>
    <xf numFmtId="0" fontId="21" fillId="28" borderId="0" applyAlignment="1">
      <alignment vertical="center"/>
    </xf>
    <xf numFmtId="0" fontId="21" fillId="29" borderId="0" applyAlignment="1">
      <alignment vertical="center"/>
    </xf>
    <xf numFmtId="0" fontId="22" fillId="30" borderId="0" applyAlignment="1">
      <alignment vertical="center"/>
    </xf>
    <xf numFmtId="0" fontId="22" fillId="31" borderId="0" applyAlignment="1">
      <alignment vertical="center"/>
    </xf>
    <xf numFmtId="0" fontId="21" fillId="32" borderId="0" applyAlignment="1">
      <alignment vertical="center"/>
    </xf>
    <xf numFmtId="0" fontId="21" fillId="33" borderId="0" applyAlignment="1">
      <alignment vertical="center"/>
    </xf>
    <xf numFmtId="0" fontId="22" fillId="34" borderId="0" applyAlignment="1">
      <alignment vertical="center"/>
    </xf>
    <xf numFmtId="0" fontId="22" fillId="35" borderId="0" applyAlignment="1">
      <alignment vertical="center"/>
    </xf>
    <xf numFmtId="0" fontId="21" fillId="36" borderId="0" applyAlignment="1">
      <alignment vertical="center"/>
    </xf>
    <xf numFmtId="0" fontId="21" fillId="37" borderId="0" applyAlignment="1">
      <alignment vertical="center"/>
    </xf>
    <xf numFmtId="0" fontId="22" fillId="38" borderId="0" applyAlignment="1">
      <alignment vertical="center"/>
    </xf>
    <xf numFmtId="0" fontId="22" fillId="39" borderId="0" applyAlignment="1">
      <alignment vertical="center"/>
    </xf>
    <xf numFmtId="0" fontId="21" fillId="40" borderId="0" applyAlignment="1">
      <alignment vertical="center"/>
    </xf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0" fillId="4" borderId="0" pivotButton="0" quotePrefix="0" xfId="0"/>
    <xf numFmtId="0" fontId="1" fillId="4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6" tint="0.6"/>
        </patternFill>
      </fill>
      <border>
        <left/>
        <right/>
        <top/>
        <bottom/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61"/>
  <sheetViews>
    <sheetView workbookViewId="0">
      <pane ySplit="3" topLeftCell="A4" activePane="bottomLeft" state="frozen"/>
      <selection activeCell="A1" sqref="A1"/>
      <selection pane="bottomLeft" activeCell="A5" sqref="A5:A54"/>
    </sheetView>
  </sheetViews>
  <sheetFormatPr baseColWidth="8" defaultColWidth="9" defaultRowHeight="13.5"/>
  <cols>
    <col width="7.425" customWidth="1" style="14" min="1" max="1"/>
    <col width="17.1416666666667" customWidth="1" style="14" min="2" max="2"/>
    <col width="50" customWidth="1" style="14" min="3" max="3"/>
    <col width="13.425" customWidth="1" style="14" min="4" max="4"/>
    <col width="12.5666666666667" customWidth="1" style="14" min="5" max="5"/>
    <col width="10.2833333333333" customWidth="1" style="14" min="6" max="6"/>
    <col width="6.625" customWidth="1" style="14" min="7" max="7"/>
    <col width="11.625" customWidth="1" style="14" min="8" max="8"/>
    <col width="14.375" customWidth="1" style="14" min="9" max="10"/>
    <col width="12.375" customWidth="1" style="14" min="11" max="11"/>
    <col width="14.5" customWidth="1" style="14" min="12" max="12"/>
    <col width="51.425" customWidth="1" style="14" min="13" max="13"/>
    <col width="51.7083333333333" customWidth="1" style="14" min="14" max="14"/>
    <col width="17.1416666666667" customWidth="1" style="14" min="15" max="15"/>
    <col width="23.7083333333333" customWidth="1" style="14" min="16" max="16"/>
    <col width="11.625" customWidth="1" style="14" min="17" max="17"/>
  </cols>
  <sheetData>
    <row r="1" customFormat="1" s="1">
      <c r="A1" s="1" t="inlineStr">
        <is>
          <t>卡牌ID</t>
        </is>
      </c>
      <c r="B1" s="1" t="inlineStr">
        <is>
          <t>卡牌名称</t>
        </is>
      </c>
      <c r="C1" s="1" t="inlineStr">
        <is>
          <t>卡牌说明</t>
        </is>
      </c>
      <c r="D1" s="1" t="inlineStr">
        <is>
          <t>卡牌类型</t>
        </is>
      </c>
      <c r="E1" s="1" t="inlineStr">
        <is>
          <t>卡牌稀有度</t>
        </is>
      </c>
      <c r="F1" s="1" t="inlineStr">
        <is>
          <t>卡面插图</t>
        </is>
      </c>
      <c r="G1" s="1" t="inlineStr">
        <is>
          <t>花费</t>
        </is>
      </c>
      <c r="H1" s="1" t="inlineStr">
        <is>
          <t>基础租金</t>
        </is>
      </c>
      <c r="I1" s="1" t="inlineStr">
        <is>
          <t>目标类型</t>
        </is>
      </c>
      <c r="J1" s="1" t="inlineStr">
        <is>
          <t>等待</t>
        </is>
      </c>
      <c r="K1" s="1" t="inlineStr">
        <is>
          <t>耐久</t>
        </is>
      </c>
      <c r="L1" s="1" t="inlineStr">
        <is>
          <t>前置效果</t>
        </is>
      </c>
      <c r="M1" s="1" t="inlineStr">
        <is>
          <t>即时效果</t>
        </is>
      </c>
      <c r="N1" s="1" t="inlineStr">
        <is>
          <t>结算效果</t>
        </is>
      </c>
      <c r="O1" s="1" t="inlineStr">
        <is>
          <t>销毁效果</t>
        </is>
      </c>
      <c r="P1" s="1" t="inlineStr">
        <is>
          <t>词条</t>
        </is>
      </c>
    </row>
    <row r="2" customFormat="1" s="2">
      <c r="A2" s="2" t="inlineStr">
        <is>
          <t>cardId</t>
        </is>
      </c>
      <c r="B2" s="2" t="inlineStr">
        <is>
          <t>cardName</t>
        </is>
      </c>
      <c r="C2" s="2" t="inlineStr">
        <is>
          <t>description</t>
        </is>
      </c>
      <c r="D2" s="2" t="inlineStr">
        <is>
          <t>cardType</t>
        </is>
      </c>
      <c r="E2" s="2" t="inlineStr">
        <is>
          <t>rarity</t>
        </is>
      </c>
      <c r="F2" s="2" t="inlineStr">
        <is>
          <t>cardArt</t>
        </is>
      </c>
      <c r="G2" s="2" t="inlineStr">
        <is>
          <t>cost</t>
        </is>
      </c>
      <c r="H2" s="2" t="inlineStr">
        <is>
          <t>baseRent</t>
        </is>
      </c>
      <c r="I2" s="2" t="inlineStr">
        <is>
          <t>targetKind</t>
        </is>
      </c>
      <c r="J2" s="2" t="inlineStr">
        <is>
          <t>waitTurns</t>
        </is>
      </c>
      <c r="K2" s="2" t="inlineStr">
        <is>
          <t>durability</t>
        </is>
      </c>
      <c r="L2" s="2" t="inlineStr">
        <is>
          <t>preEffect</t>
        </is>
      </c>
      <c r="M2" s="2" t="inlineStr">
        <is>
          <t>instantEffect</t>
        </is>
      </c>
      <c r="N2" s="2" t="inlineStr">
        <is>
          <t>settleEffect</t>
        </is>
      </c>
      <c r="O2" s="2" t="inlineStr">
        <is>
          <t>destroyEffect</t>
        </is>
      </c>
      <c r="P2" s="2" t="inlineStr">
        <is>
          <t>tags</t>
        </is>
      </c>
    </row>
    <row r="3" customFormat="1" s="2">
      <c r="A3" s="2" t="inlineStr">
        <is>
          <t>int</t>
        </is>
      </c>
      <c r="B3" s="2" t="inlineStr">
        <is>
          <t>string</t>
        </is>
      </c>
      <c r="C3" s="2" t="inlineStr">
        <is>
          <t>string</t>
        </is>
      </c>
      <c r="D3" s="2" t="inlineStr">
        <is>
          <t>enum</t>
        </is>
      </c>
      <c r="E3" s="2" t="inlineStr">
        <is>
          <t>int</t>
        </is>
      </c>
      <c r="F3" s="2" t="inlineStr">
        <is>
          <t>string</t>
        </is>
      </c>
      <c r="G3" s="2" t="inlineStr">
        <is>
          <t>int</t>
        </is>
      </c>
      <c r="H3" s="2" t="inlineStr">
        <is>
          <t>int</t>
        </is>
      </c>
      <c r="I3" s="2" t="inlineStr">
        <is>
          <t>enum</t>
        </is>
      </c>
      <c r="J3" s="2" t="inlineStr">
        <is>
          <t>int</t>
        </is>
      </c>
      <c r="K3" s="2" t="inlineStr">
        <is>
          <t>int</t>
        </is>
      </c>
      <c r="L3" s="2" t="inlineStr">
        <is>
          <t>string</t>
        </is>
      </c>
      <c r="M3" s="2" t="inlineStr">
        <is>
          <t>string</t>
        </is>
      </c>
      <c r="N3" s="2" t="inlineStr">
        <is>
          <t>string</t>
        </is>
      </c>
      <c r="O3" s="2" t="inlineStr">
        <is>
          <t>string</t>
        </is>
      </c>
      <c r="P3" s="2" t="inlineStr">
        <is>
          <t>string</t>
        </is>
      </c>
    </row>
    <row r="4" customFormat="1" s="13">
      <c r="A4" s="13" t="n">
        <v>9999</v>
      </c>
      <c r="B4" s="13" t="inlineStr">
        <is>
          <t>市场</t>
        </is>
      </c>
      <c r="C4" s="13" t="inlineStr">
        <is>
          <t>出门购物喽</t>
        </is>
      </c>
      <c r="D4" s="13" t="inlineStr">
        <is>
          <t>Card_Event</t>
        </is>
      </c>
      <c r="E4" s="13" t="n">
        <v>1</v>
      </c>
      <c r="F4" s="13" t="inlineStr"/>
      <c r="G4" s="13" t="n">
        <v>200</v>
      </c>
      <c r="H4" s="13" t="n">
        <v>0</v>
      </c>
      <c r="I4" s="13" t="inlineStr">
        <is>
          <t>PlayArea</t>
        </is>
      </c>
      <c r="J4" s="13" t="n">
        <v>0</v>
      </c>
      <c r="K4" s="13" t="n">
        <v>0</v>
      </c>
      <c r="L4" s="13" t="inlineStr"/>
      <c r="M4" s="13" t="inlineStr">
        <is>
          <t>OpenShop</t>
        </is>
      </c>
      <c r="N4" s="13" t="inlineStr"/>
    </row>
    <row r="5">
      <c r="A5" t="n">
        <v>1003</v>
      </c>
      <c r="B5" t="inlineStr">
        <is>
          <t>程序员</t>
        </is>
      </c>
      <c r="C5" t="inlineStr">
        <is>
          <t>整洁有序，能让周围装备效率倍增。</t>
        </is>
      </c>
      <c r="D5" t="inlineStr">
        <is>
          <t>Card_Tenant</t>
        </is>
      </c>
      <c r="E5" t="n">
        <v>2</v>
      </c>
      <c r="F5" t="inlineStr"/>
      <c r="G5" t="n">
        <v>150</v>
      </c>
      <c r="H5" t="n">
        <v>200</v>
      </c>
      <c r="I5" t="inlineStr">
        <is>
          <t>Room</t>
        </is>
      </c>
      <c r="J5" t="n">
        <v>0</v>
      </c>
      <c r="K5" t="n">
        <v>3</v>
      </c>
      <c r="L5" t="inlineStr"/>
      <c r="M5" t="inlineStr"/>
      <c r="N5" t="inlineStr"/>
      <c r="O5" t="inlineStr"/>
      <c r="P5" t="inlineStr">
        <is>
          <t>Quiet|Tidy</t>
        </is>
      </c>
    </row>
    <row r="6">
      <c r="A6" t="n">
        <v>1006</v>
      </c>
      <c r="B6" t="inlineStr">
        <is>
          <t>主播</t>
        </is>
      </c>
      <c r="C6" t="inlineStr">
        <is>
          <t>高收入但经常搬家。</t>
        </is>
      </c>
      <c r="D6" t="inlineStr">
        <is>
          <t>Card_Tenant</t>
        </is>
      </c>
      <c r="E6" t="n">
        <v>2</v>
      </c>
      <c r="F6" t="inlineStr"/>
      <c r="G6" t="n">
        <v>150</v>
      </c>
      <c r="H6" t="n">
        <v>120</v>
      </c>
      <c r="I6" t="inlineStr">
        <is>
          <t>Room</t>
        </is>
      </c>
      <c r="J6" t="n">
        <v>2</v>
      </c>
      <c r="K6" t="n">
        <v>3</v>
      </c>
      <c r="L6" t="inlineStr"/>
      <c r="M6" t="inlineStr">
        <is>
          <t>AddMoney;240</t>
        </is>
      </c>
      <c r="N6" t="inlineStr"/>
      <c r="O6" t="inlineStr">
        <is>
          <t>ReduceMoney;120</t>
        </is>
      </c>
    </row>
    <row r="7">
      <c r="A7" t="n">
        <v>1007</v>
      </c>
      <c r="B7" t="inlineStr">
        <is>
          <t>医生</t>
        </is>
      </c>
      <c r="C7" t="inlineStr">
        <is>
          <t>定金高，长期承租。</t>
        </is>
      </c>
      <c r="D7" t="inlineStr">
        <is>
          <t>Card_Tenant</t>
        </is>
      </c>
      <c r="E7" t="n">
        <v>2</v>
      </c>
      <c r="F7" t="inlineStr"/>
      <c r="G7" t="n">
        <v>250</v>
      </c>
      <c r="H7" t="n">
        <v>80</v>
      </c>
      <c r="I7" t="inlineStr">
        <is>
          <t>Room</t>
        </is>
      </c>
      <c r="J7" t="n">
        <v>2</v>
      </c>
      <c r="K7" t="n">
        <v>10</v>
      </c>
      <c r="L7" t="inlineStr"/>
      <c r="M7" t="inlineStr">
        <is>
          <t>AddMoney;160</t>
        </is>
      </c>
      <c r="N7" t="inlineStr"/>
      <c r="O7" t="inlineStr">
        <is>
          <t>ReduceMoney;80</t>
        </is>
      </c>
    </row>
    <row r="8">
      <c r="A8" t="n">
        <v>2002</v>
      </c>
      <c r="B8" t="inlineStr">
        <is>
          <t>双层床</t>
        </is>
      </c>
      <c r="C8" t="inlineStr">
        <is>
          <t>增加一个房客位置。</t>
        </is>
      </c>
      <c r="D8" t="inlineStr">
        <is>
          <t>Card_Equipt</t>
        </is>
      </c>
      <c r="E8" t="n">
        <v>2</v>
      </c>
      <c r="F8" t="inlineStr"/>
      <c r="G8" t="n">
        <v>100</v>
      </c>
      <c r="H8" t="n">
        <v>0</v>
      </c>
      <c r="I8" t="inlineStr">
        <is>
          <t>Room</t>
        </is>
      </c>
      <c r="J8" t="n">
        <v>0</v>
      </c>
      <c r="K8" t="n">
        <v>0</v>
      </c>
      <c r="L8" t="inlineStr"/>
      <c r="M8" t="inlineStr">
        <is>
          <t>ExpandSlot;1</t>
        </is>
      </c>
      <c r="N8" t="inlineStr"/>
      <c r="O8" t="inlineStr"/>
    </row>
    <row r="9">
      <c r="A9" t="n">
        <v>3005</v>
      </c>
      <c r="B9" t="inlineStr">
        <is>
          <t>应急贷款</t>
        </is>
      </c>
      <c r="C9" t="inlineStr">
        <is>
          <t>银行紧急资金。</t>
        </is>
      </c>
      <c r="D9" t="inlineStr">
        <is>
          <t>Card_Event</t>
        </is>
      </c>
      <c r="E9" t="n">
        <v>2</v>
      </c>
      <c r="F9" t="inlineStr"/>
      <c r="G9" t="n">
        <v>0</v>
      </c>
      <c r="H9" t="n">
        <v>0</v>
      </c>
      <c r="I9" t="inlineStr">
        <is>
          <t>PlayArea</t>
        </is>
      </c>
      <c r="J9" t="n">
        <v>0</v>
      </c>
      <c r="K9" t="n">
        <v>0</v>
      </c>
      <c r="L9" t="inlineStr"/>
      <c r="M9" t="inlineStr">
        <is>
          <t>AddMoney;500</t>
        </is>
      </c>
      <c r="N9" t="inlineStr"/>
      <c r="O9" t="inlineStr"/>
    </row>
    <row r="10">
      <c r="A10" t="n">
        <v>1012</v>
      </c>
      <c r="B10" t="inlineStr">
        <is>
          <t>夜班护士</t>
        </is>
      </c>
      <c r="C10" t="inlineStr">
        <is>
          <t>长班次，稳定回报，难以驱赶。</t>
        </is>
      </c>
      <c r="D10" t="inlineStr">
        <is>
          <t>Card_Tenant</t>
        </is>
      </c>
      <c r="E10" t="n">
        <v>2</v>
      </c>
      <c r="F10" t="inlineStr"/>
      <c r="G10" t="n">
        <v>95</v>
      </c>
      <c r="H10" t="n">
        <v>45</v>
      </c>
      <c r="I10" t="inlineStr">
        <is>
          <t>Room</t>
        </is>
      </c>
      <c r="J10" t="n">
        <v>2</v>
      </c>
      <c r="K10" t="n">
        <v>7</v>
      </c>
      <c r="L10" t="inlineStr"/>
      <c r="M10" t="inlineStr"/>
      <c r="N10" t="inlineStr"/>
      <c r="O10" t="inlineStr">
        <is>
          <t>ReduceMoney;30</t>
        </is>
      </c>
    </row>
    <row r="11">
      <c r="A11" t="n">
        <v>2010</v>
      </c>
      <c r="B11" t="inlineStr">
        <is>
          <t>洗衣堆</t>
        </is>
      </c>
      <c r="C11" t="inlineStr">
        <is>
          <t>提升房间舒适度，房客留存更久。</t>
        </is>
      </c>
      <c r="D11" t="inlineStr">
        <is>
          <t>Card_Equipt</t>
        </is>
      </c>
      <c r="E11" t="n">
        <v>2</v>
      </c>
      <c r="F11" t="inlineStr"/>
      <c r="G11" t="n">
        <v>95</v>
      </c>
      <c r="H11" t="n">
        <v>0</v>
      </c>
      <c r="I11" t="inlineStr">
        <is>
          <t>Room</t>
        </is>
      </c>
      <c r="J11" t="n">
        <v>0</v>
      </c>
      <c r="K11" t="n">
        <v>6</v>
      </c>
      <c r="L11" t="inlineStr"/>
      <c r="M11" t="inlineStr"/>
      <c r="N11" t="inlineStr">
        <is>
          <t>AddMoney;12|AddTenantDurabilityInSelectedRoom;1</t>
        </is>
      </c>
      <c r="O11" t="inlineStr"/>
    </row>
    <row r="12">
      <c r="A12" t="n">
        <v>1018</v>
      </c>
      <c r="B12" t="inlineStr">
        <is>
          <t>装修负责人</t>
        </is>
      </c>
      <c r="C12" t="inlineStr">
        <is>
          <t>建筑有更多房间在用时获得奖励。</t>
        </is>
      </c>
      <c r="D12" t="inlineStr">
        <is>
          <t>Card_Tenant</t>
        </is>
      </c>
      <c r="E12" t="n">
        <v>2</v>
      </c>
      <c r="F12" t="inlineStr"/>
      <c r="G12" t="n">
        <v>70</v>
      </c>
      <c r="H12" t="n">
        <v>32</v>
      </c>
      <c r="I12" t="inlineStr">
        <is>
          <t>Room</t>
        </is>
      </c>
      <c r="J12" t="n">
        <v>2</v>
      </c>
      <c r="K12" t="n">
        <v>5</v>
      </c>
      <c r="L12" t="inlineStr"/>
      <c r="M12" t="inlineStr"/>
      <c r="N12" t="inlineStr">
        <is>
          <t>AddMoneyByRoomCount;12</t>
        </is>
      </c>
      <c r="O12" t="inlineStr"/>
    </row>
    <row r="13">
      <c r="A13" t="n">
        <v>2012</v>
      </c>
      <c r="B13" t="inlineStr">
        <is>
          <t>隔断墙</t>
        </is>
      </c>
      <c r="C13" t="inlineStr">
        <is>
          <t>纯容量增长，无额外条件。</t>
        </is>
      </c>
      <c r="D13" t="inlineStr">
        <is>
          <t>Card_Equipt</t>
        </is>
      </c>
      <c r="E13" t="n">
        <v>2</v>
      </c>
      <c r="F13" t="inlineStr"/>
      <c r="G13" t="n">
        <v>110</v>
      </c>
      <c r="H13" t="n">
        <v>0</v>
      </c>
      <c r="I13" t="inlineStr">
        <is>
          <t>Room</t>
        </is>
      </c>
      <c r="J13" t="n">
        <v>0</v>
      </c>
      <c r="K13" t="n">
        <v>5</v>
      </c>
      <c r="L13" t="inlineStr"/>
      <c r="M13" t="inlineStr">
        <is>
          <t>ExpandSlot;2</t>
        </is>
      </c>
      <c r="N13" t="inlineStr"/>
      <c r="O13" t="inlineStr"/>
    </row>
    <row r="14">
      <c r="A14" t="n">
        <v>4003</v>
      </c>
      <c r="B14" t="inlineStr">
        <is>
          <t>蓝图交易</t>
        </is>
      </c>
      <c r="C14" t="inlineStr">
        <is>
          <t>随着地产增长而变得更好的可扩展合约。</t>
        </is>
      </c>
      <c r="D14" t="inlineStr">
        <is>
          <t>Card_Contract</t>
        </is>
      </c>
      <c r="E14" t="n">
        <v>2</v>
      </c>
      <c r="F14" t="inlineStr"/>
      <c r="G14" t="n">
        <v>140</v>
      </c>
      <c r="H14" t="n">
        <v>0</v>
      </c>
      <c r="I14" t="inlineStr">
        <is>
          <t>PlayArea</t>
        </is>
      </c>
      <c r="J14" t="n">
        <v>0</v>
      </c>
      <c r="K14" t="n">
        <v>4</v>
      </c>
      <c r="L14" t="inlineStr"/>
      <c r="M14" t="inlineStr"/>
      <c r="N14" t="inlineStr">
        <is>
          <t>AddMoneyByRoomCount;20|DrawCard;1</t>
        </is>
      </c>
      <c r="O14" t="inlineStr"/>
    </row>
    <row r="15">
      <c r="A15" t="n">
        <v>1020</v>
      </c>
      <c r="B15" t="inlineStr">
        <is>
          <t>闪电经纪人</t>
        </is>
      </c>
      <c r="C15" t="inlineStr">
        <is>
          <t>短期高薪房客，留下增值残余。</t>
        </is>
      </c>
      <c r="D15" t="inlineStr">
        <is>
          <t>Card_Tenant</t>
        </is>
      </c>
      <c r="E15" t="n">
        <v>2</v>
      </c>
      <c r="F15" t="inlineStr"/>
      <c r="G15" t="n">
        <v>80</v>
      </c>
      <c r="H15" t="n">
        <v>25</v>
      </c>
      <c r="I15" t="inlineStr">
        <is>
          <t>Room</t>
        </is>
      </c>
      <c r="J15" t="n">
        <v>2</v>
      </c>
      <c r="K15" t="n">
        <v>3</v>
      </c>
      <c r="L15" t="inlineStr"/>
      <c r="M15" t="inlineStr"/>
      <c r="N15" t="inlineStr">
        <is>
          <t>AddMoneyBySelectedRoomTenantCount;25</t>
        </is>
      </c>
      <c r="O15" t="inlineStr">
        <is>
          <t>AddMoney;70</t>
        </is>
      </c>
    </row>
    <row r="16">
      <c r="A16" t="n">
        <v>2013</v>
      </c>
      <c r="B16" t="inlineStr">
        <is>
          <t>涡轮计价表</t>
        </is>
      </c>
      <c r="C16" t="inlineStr">
        <is>
          <t>把房间密度转化为每次结算的额外冲刺。</t>
        </is>
      </c>
      <c r="D16" t="inlineStr">
        <is>
          <t>Card_Equipt</t>
        </is>
      </c>
      <c r="E16" t="n">
        <v>2</v>
      </c>
      <c r="F16" t="inlineStr"/>
      <c r="G16" t="n">
        <v>90</v>
      </c>
      <c r="H16" t="n">
        <v>0</v>
      </c>
      <c r="I16" t="inlineStr">
        <is>
          <t>Room</t>
        </is>
      </c>
      <c r="J16" t="n">
        <v>0</v>
      </c>
      <c r="K16" t="n">
        <v>4</v>
      </c>
      <c r="L16" t="inlineStr"/>
      <c r="M16" t="inlineStr"/>
      <c r="N16" t="inlineStr">
        <is>
          <t>AddMoneyBySelectedRoomTenantCount;10|AddMoney;15</t>
        </is>
      </c>
      <c r="O16" t="inlineStr"/>
    </row>
    <row r="17">
      <c r="A17" t="n">
        <v>4004</v>
      </c>
      <c r="B17" t="inlineStr">
        <is>
          <t>最终对账</t>
        </is>
      </c>
      <c r="C17" t="inlineStr">
        <is>
          <t>短期合约推动最后的现金和牌张突发。</t>
        </is>
      </c>
      <c r="D17" t="inlineStr">
        <is>
          <t>Card_Contract</t>
        </is>
      </c>
      <c r="E17" t="n">
        <v>2</v>
      </c>
      <c r="F17" t="inlineStr"/>
      <c r="G17" t="n">
        <v>130</v>
      </c>
      <c r="H17" t="n">
        <v>0</v>
      </c>
      <c r="I17" t="inlineStr">
        <is>
          <t>PlayArea</t>
        </is>
      </c>
      <c r="J17" t="n">
        <v>0</v>
      </c>
      <c r="K17" t="n">
        <v>3</v>
      </c>
      <c r="L17" t="inlineStr"/>
      <c r="M17" t="inlineStr"/>
      <c r="N17" t="inlineStr">
        <is>
          <t>AddMoney;35|DrawCard;1</t>
        </is>
      </c>
      <c r="O17" t="inlineStr"/>
    </row>
    <row r="18">
      <c r="A18" t="n">
        <v>1002</v>
      </c>
      <c r="B18" t="inlineStr">
        <is>
          <t>白领</t>
        </is>
      </c>
      <c r="C18" t="inlineStr">
        <is>
          <t>工作稳定，安静自律。</t>
        </is>
      </c>
      <c r="D18" t="inlineStr">
        <is>
          <t>Card_Tenant</t>
        </is>
      </c>
      <c r="E18" t="n">
        <v>1</v>
      </c>
      <c r="F18" t="inlineStr"/>
      <c r="G18" t="n">
        <v>150</v>
      </c>
      <c r="H18" t="n">
        <v>200</v>
      </c>
      <c r="I18" t="inlineStr">
        <is>
          <t>Room</t>
        </is>
      </c>
      <c r="J18" t="n">
        <v>0</v>
      </c>
      <c r="K18" t="n">
        <v>4</v>
      </c>
      <c r="L18" t="inlineStr"/>
      <c r="M18" t="inlineStr"/>
      <c r="N18" t="inlineStr"/>
      <c r="O18" t="inlineStr"/>
      <c r="P18" t="inlineStr">
        <is>
          <t>Quiet</t>
        </is>
      </c>
    </row>
    <row r="19">
      <c r="A19" t="n">
        <v>1004</v>
      </c>
      <c r="B19" t="inlineStr">
        <is>
          <t>高级教师</t>
        </is>
      </c>
      <c r="C19" t="inlineStr">
        <is>
          <t>收入高但消耗快，有时会提前离开。</t>
        </is>
      </c>
      <c r="D19" t="inlineStr">
        <is>
          <t>Card_Tenant</t>
        </is>
      </c>
      <c r="E19" t="n">
        <v>1</v>
      </c>
      <c r="F19" t="inlineStr"/>
      <c r="G19" t="n">
        <v>300</v>
      </c>
      <c r="H19" t="n">
        <v>500</v>
      </c>
      <c r="I19" t="inlineStr">
        <is>
          <t>Room</t>
        </is>
      </c>
      <c r="J19" t="n">
        <v>0</v>
      </c>
      <c r="K19" t="n">
        <v>2</v>
      </c>
      <c r="L19" t="inlineStr"/>
      <c r="M19" t="inlineStr"/>
      <c r="N19" t="inlineStr">
        <is>
          <t>ExtraDurabilityChance;0.3</t>
        </is>
      </c>
      <c r="O19" t="inlineStr"/>
      <c r="P19" t="inlineStr">
        <is>
          <t>Quiet|HighSpender</t>
        </is>
      </c>
    </row>
    <row r="20">
      <c r="A20" t="n">
        <v>1008</v>
      </c>
      <c r="B20" t="inlineStr">
        <is>
          <t>厨师</t>
        </is>
      </c>
      <c r="C20" t="inlineStr">
        <is>
          <t>稳定可靠的好房客。</t>
        </is>
      </c>
      <c r="D20" t="inlineStr">
        <is>
          <t>Card_Tenant</t>
        </is>
      </c>
      <c r="E20" t="n">
        <v>1</v>
      </c>
      <c r="F20" t="inlineStr"/>
      <c r="G20" t="n">
        <v>100</v>
      </c>
      <c r="H20" t="n">
        <v>50</v>
      </c>
      <c r="I20" t="inlineStr">
        <is>
          <t>Room</t>
        </is>
      </c>
      <c r="J20" t="n">
        <v>2</v>
      </c>
      <c r="K20" t="n">
        <v>6</v>
      </c>
      <c r="L20" t="inlineStr"/>
      <c r="M20" t="inlineStr">
        <is>
          <t>AddMoney;100</t>
        </is>
      </c>
      <c r="N20" t="inlineStr"/>
      <c r="O20" t="inlineStr">
        <is>
          <t>ReduceMoney;50</t>
        </is>
      </c>
    </row>
    <row r="21">
      <c r="A21" t="n">
        <v>1009</v>
      </c>
      <c r="B21" t="inlineStr">
        <is>
          <t>画家</t>
        </is>
      </c>
      <c r="C21" t="inlineStr">
        <is>
          <t>需要安静的邻居才能发挥灵感。</t>
        </is>
      </c>
      <c r="D21" t="inlineStr">
        <is>
          <t>Card_Tenant</t>
        </is>
      </c>
      <c r="E21" t="n">
        <v>1</v>
      </c>
      <c r="F21" t="inlineStr"/>
      <c r="G21" t="n">
        <v>100</v>
      </c>
      <c r="H21" t="n">
        <v>150</v>
      </c>
      <c r="I21" t="inlineStr">
        <is>
          <t>Room</t>
        </is>
      </c>
      <c r="J21" t="n">
        <v>0</v>
      </c>
      <c r="K21" t="n">
        <v>3</v>
      </c>
      <c r="L21" t="inlineStr"/>
      <c r="M21" t="inlineStr"/>
      <c r="N21" t="inlineStr">
        <is>
          <t>AddMoneyIfAdjacentAffix;Quiet;200</t>
        </is>
      </c>
      <c r="O21" t="inlineStr"/>
      <c r="P21" t="inlineStr">
        <is>
          <t>Quiet</t>
        </is>
      </c>
    </row>
    <row r="22">
      <c r="A22" t="n">
        <v>2001</v>
      </c>
      <c r="B22" t="inlineStr">
        <is>
          <t>空调</t>
        </is>
      </c>
      <c r="C22" t="inlineStr">
        <is>
          <t>提升房间舒适度。</t>
        </is>
      </c>
      <c r="D22" t="inlineStr">
        <is>
          <t>Card_Equipt</t>
        </is>
      </c>
      <c r="E22" t="n">
        <v>1</v>
      </c>
      <c r="F22" t="inlineStr"/>
      <c r="G22" t="n">
        <v>80</v>
      </c>
      <c r="H22" t="n">
        <v>0</v>
      </c>
      <c r="I22" t="inlineStr">
        <is>
          <t>Room</t>
        </is>
      </c>
      <c r="J22" t="n">
        <v>0</v>
      </c>
      <c r="K22" t="n">
        <v>5</v>
      </c>
      <c r="L22" t="inlineStr"/>
      <c r="M22" t="inlineStr"/>
      <c r="N22" t="inlineStr">
        <is>
          <t>AddMoney;10</t>
        </is>
      </c>
      <c r="O22" t="inlineStr"/>
    </row>
    <row r="23">
      <c r="A23" t="n">
        <v>2004</v>
      </c>
      <c r="B23" t="inlineStr">
        <is>
          <t>WiFi路由器</t>
        </is>
      </c>
      <c r="C23" t="inlineStr">
        <is>
          <t>生活必需品。</t>
        </is>
      </c>
      <c r="D23" t="inlineStr">
        <is>
          <t>Card_Equipt</t>
        </is>
      </c>
      <c r="E23" t="n">
        <v>1</v>
      </c>
      <c r="F23" t="inlineStr"/>
      <c r="G23" t="n">
        <v>90</v>
      </c>
      <c r="H23" t="n">
        <v>0</v>
      </c>
      <c r="I23" t="inlineStr">
        <is>
          <t>Room</t>
        </is>
      </c>
      <c r="J23" t="n">
        <v>0</v>
      </c>
      <c r="K23" t="n">
        <v>6</v>
      </c>
      <c r="L23" t="inlineStr"/>
      <c r="M23" t="inlineStr"/>
      <c r="N23" t="inlineStr">
        <is>
          <t>AddMoney;15</t>
        </is>
      </c>
      <c r="O23" t="inlineStr"/>
    </row>
    <row r="24">
      <c r="A24" t="n">
        <v>2005</v>
      </c>
      <c r="B24" t="inlineStr">
        <is>
          <t>洗衣机</t>
        </is>
      </c>
      <c r="C24" t="inlineStr">
        <is>
          <t>洗衣便利性。</t>
        </is>
      </c>
      <c r="D24" t="inlineStr">
        <is>
          <t>Card_Equipt</t>
        </is>
      </c>
      <c r="E24" t="n">
        <v>1</v>
      </c>
      <c r="F24" t="inlineStr"/>
      <c r="G24" t="n">
        <v>70</v>
      </c>
      <c r="H24" t="n">
        <v>0</v>
      </c>
      <c r="I24" t="inlineStr">
        <is>
          <t>Room</t>
        </is>
      </c>
      <c r="J24" t="n">
        <v>0</v>
      </c>
      <c r="K24" t="n">
        <v>7</v>
      </c>
      <c r="L24" t="inlineStr"/>
      <c r="M24" t="inlineStr"/>
      <c r="N24" t="inlineStr">
        <is>
          <t>AddMoney;8</t>
        </is>
      </c>
      <c r="O24" t="inlineStr"/>
    </row>
    <row r="25">
      <c r="A25" t="n">
        <v>3002</v>
      </c>
      <c r="B25" t="inlineStr">
        <is>
          <t>经纪人介绍</t>
        </is>
      </c>
      <c r="C25" t="inlineStr">
        <is>
          <t>支付费用抽取2张牌。</t>
        </is>
      </c>
      <c r="D25" t="inlineStr">
        <is>
          <t>Card_Event</t>
        </is>
      </c>
      <c r="E25" t="n">
        <v>1</v>
      </c>
      <c r="F25" t="inlineStr"/>
      <c r="G25" t="n">
        <v>50</v>
      </c>
      <c r="H25" t="n">
        <v>0</v>
      </c>
      <c r="I25" t="inlineStr">
        <is>
          <t>PlayArea</t>
        </is>
      </c>
      <c r="J25" t="n">
        <v>0</v>
      </c>
      <c r="K25" t="n">
        <v>0</v>
      </c>
      <c r="L25" t="inlineStr"/>
      <c r="M25" t="inlineStr">
        <is>
          <t>DrawCard;2</t>
        </is>
      </c>
      <c r="N25" t="inlineStr"/>
      <c r="O25" t="inlineStr"/>
    </row>
    <row r="26">
      <c r="A26" t="n">
        <v>3003</v>
      </c>
      <c r="B26" t="inlineStr">
        <is>
          <t>续签</t>
        </is>
      </c>
      <c r="C26" t="inlineStr">
        <is>
          <t>说服所有房客留下。</t>
        </is>
      </c>
      <c r="D26" t="inlineStr">
        <is>
          <t>Card_Event</t>
        </is>
      </c>
      <c r="E26" t="n">
        <v>1</v>
      </c>
      <c r="F26" t="inlineStr"/>
      <c r="G26" t="n">
        <v>80</v>
      </c>
      <c r="H26" t="n">
        <v>0</v>
      </c>
      <c r="I26" t="inlineStr">
        <is>
          <t>PlayArea</t>
        </is>
      </c>
      <c r="J26" t="n">
        <v>0</v>
      </c>
      <c r="K26" t="n">
        <v>0</v>
      </c>
      <c r="L26" t="inlineStr"/>
      <c r="M26" t="inlineStr">
        <is>
          <t>AddTenantDurability;3</t>
        </is>
      </c>
      <c r="N26" t="inlineStr"/>
      <c r="O26" t="inlineStr"/>
    </row>
    <row r="27">
      <c r="A27" t="n">
        <v>3004</v>
      </c>
      <c r="B27" t="inlineStr">
        <is>
          <t>维修</t>
        </is>
      </c>
      <c r="C27" t="inlineStr">
        <is>
          <t>修复所有设备。</t>
        </is>
      </c>
      <c r="D27" t="inlineStr">
        <is>
          <t>Card_Event</t>
        </is>
      </c>
      <c r="E27" t="n">
        <v>1</v>
      </c>
      <c r="F27" t="inlineStr"/>
      <c r="G27" t="n">
        <v>60</v>
      </c>
      <c r="H27" t="n">
        <v>0</v>
      </c>
      <c r="I27" t="inlineStr">
        <is>
          <t>PlayArea</t>
        </is>
      </c>
      <c r="J27" t="n">
        <v>0</v>
      </c>
      <c r="K27" t="n">
        <v>0</v>
      </c>
      <c r="L27" t="inlineStr"/>
      <c r="M27" t="inlineStr">
        <is>
          <t>AddEquipmentDurability;3</t>
        </is>
      </c>
      <c r="N27" t="inlineStr"/>
      <c r="O27" t="inlineStr"/>
    </row>
    <row r="28">
      <c r="A28" t="n">
        <v>1011</v>
      </c>
      <c r="B28" t="inlineStr">
        <is>
          <t>工会文员</t>
        </is>
      </c>
      <c r="C28" t="inlineStr">
        <is>
          <t>可靠的办公收入，房客流失少。</t>
        </is>
      </c>
      <c r="D28" t="inlineStr">
        <is>
          <t>Card_Tenant</t>
        </is>
      </c>
      <c r="E28" t="n">
        <v>1</v>
      </c>
      <c r="F28" t="inlineStr"/>
      <c r="G28" t="n">
        <v>70</v>
      </c>
      <c r="H28" t="n">
        <v>35</v>
      </c>
      <c r="I28" t="inlineStr">
        <is>
          <t>Room</t>
        </is>
      </c>
      <c r="J28" t="n">
        <v>2</v>
      </c>
      <c r="K28" t="n">
        <v>6</v>
      </c>
      <c r="L28" t="inlineStr"/>
      <c r="M28" t="inlineStr"/>
      <c r="N28" t="inlineStr"/>
      <c r="O28" t="inlineStr">
        <is>
          <t>ReduceMoney;20</t>
        </is>
      </c>
    </row>
    <row r="29">
      <c r="A29" t="n">
        <v>2006</v>
      </c>
      <c r="B29" t="inlineStr">
        <is>
          <t>租赁账本</t>
        </is>
      </c>
      <c r="C29" t="inlineStr">
        <is>
          <t>把每个房间变成更清洁的收益线。</t>
        </is>
      </c>
      <c r="D29" t="inlineStr">
        <is>
          <t>Card_Equipt</t>
        </is>
      </c>
      <c r="E29" t="n">
        <v>1</v>
      </c>
      <c r="F29" t="inlineStr"/>
      <c r="G29" t="n">
        <v>85</v>
      </c>
      <c r="H29" t="n">
        <v>0</v>
      </c>
      <c r="I29" t="inlineStr">
        <is>
          <t>Room</t>
        </is>
      </c>
      <c r="J29" t="n">
        <v>0</v>
      </c>
      <c r="K29" t="n">
        <v>5</v>
      </c>
      <c r="L29" t="inlineStr"/>
      <c r="M29" t="inlineStr"/>
      <c r="N29" t="inlineStr">
        <is>
          <t>AddMoney;15</t>
        </is>
      </c>
      <c r="O29" t="inlineStr"/>
    </row>
    <row r="30">
      <c r="A30" t="n">
        <v>4001</v>
      </c>
      <c r="B30" t="inlineStr">
        <is>
          <t>长期租约</t>
        </is>
      </c>
      <c r="C30" t="inlineStr">
        <is>
          <t>在多个回合内锁定低风险收入。</t>
        </is>
      </c>
      <c r="D30" t="inlineStr">
        <is>
          <t>Card_Contract</t>
        </is>
      </c>
      <c r="E30" t="n">
        <v>1</v>
      </c>
      <c r="F30" t="inlineStr"/>
      <c r="G30" t="n">
        <v>120</v>
      </c>
      <c r="H30" t="n">
        <v>0</v>
      </c>
      <c r="I30" t="inlineStr">
        <is>
          <t>PlayArea</t>
        </is>
      </c>
      <c r="J30" t="n">
        <v>0</v>
      </c>
      <c r="K30" t="n">
        <v>4</v>
      </c>
      <c r="L30" t="inlineStr"/>
      <c r="M30" t="inlineStr"/>
      <c r="N30" t="inlineStr">
        <is>
          <t>AddMoney;20|AddTenantDurability;1</t>
        </is>
      </c>
      <c r="O30" t="inlineStr"/>
    </row>
    <row r="31">
      <c r="A31" t="n">
        <v>1014</v>
      </c>
      <c r="B31" t="inlineStr">
        <is>
          <t>夜骑手</t>
        </is>
      </c>
      <c r="C31" t="inlineStr">
        <is>
          <t>短期入住，高速节奏，容易变现。</t>
        </is>
      </c>
      <c r="D31" t="inlineStr">
        <is>
          <t>Card_Tenant</t>
        </is>
      </c>
      <c r="E31" t="n">
        <v>1</v>
      </c>
      <c r="F31" t="inlineStr"/>
      <c r="G31" t="n">
        <v>80</v>
      </c>
      <c r="H31" t="n">
        <v>35</v>
      </c>
      <c r="I31" t="inlineStr">
        <is>
          <t>Room</t>
        </is>
      </c>
      <c r="J31" t="n">
        <v>2</v>
      </c>
      <c r="K31" t="n">
        <v>3</v>
      </c>
      <c r="L31" t="inlineStr"/>
      <c r="M31" t="inlineStr"/>
      <c r="N31" t="inlineStr"/>
      <c r="O31" t="inlineStr">
        <is>
          <t>AddMoney;70</t>
        </is>
      </c>
    </row>
    <row r="32">
      <c r="A32" t="n">
        <v>2007</v>
      </c>
      <c r="B32" t="inlineStr">
        <is>
          <t>清仓招牌</t>
        </is>
      </c>
      <c r="C32" t="inlineStr">
        <is>
          <t>让繁忙房间持续转化为现金。</t>
        </is>
      </c>
      <c r="D32" t="inlineStr">
        <is>
          <t>Card_Equipt</t>
        </is>
      </c>
      <c r="E32" t="n">
        <v>1</v>
      </c>
      <c r="F32" t="inlineStr"/>
      <c r="G32" t="n">
        <v>65</v>
      </c>
      <c r="H32" t="n">
        <v>0</v>
      </c>
      <c r="I32" t="inlineStr">
        <is>
          <t>Room</t>
        </is>
      </c>
      <c r="J32" t="n">
        <v>0</v>
      </c>
      <c r="K32" t="n">
        <v>4</v>
      </c>
      <c r="L32" t="inlineStr"/>
      <c r="M32" t="inlineStr"/>
      <c r="N32" t="inlineStr">
        <is>
          <t>AddMoney;10</t>
        </is>
      </c>
      <c r="O32" t="inlineStr"/>
    </row>
    <row r="33">
      <c r="A33" t="n">
        <v>3007</v>
      </c>
      <c r="B33" t="inlineStr">
        <is>
          <t>招聘电话</t>
        </is>
      </c>
      <c r="C33" t="inlineStr">
        <is>
          <t>立即抽牌补充手牌。</t>
        </is>
      </c>
      <c r="D33" t="inlineStr">
        <is>
          <t>Card_Event</t>
        </is>
      </c>
      <c r="E33" t="n">
        <v>1</v>
      </c>
      <c r="F33" t="inlineStr"/>
      <c r="G33" t="n">
        <v>40</v>
      </c>
      <c r="H33" t="n">
        <v>0</v>
      </c>
      <c r="I33" t="inlineStr">
        <is>
          <t>PlayArea</t>
        </is>
      </c>
      <c r="J33" t="n">
        <v>0</v>
      </c>
      <c r="K33" t="n">
        <v>0</v>
      </c>
      <c r="L33" t="inlineStr"/>
      <c r="M33" t="inlineStr">
        <is>
          <t>DrawCard;2</t>
        </is>
      </c>
      <c r="N33" t="inlineStr"/>
      <c r="O33" t="inlineStr"/>
    </row>
    <row r="34">
      <c r="A34" t="n">
        <v>3008</v>
      </c>
      <c r="B34" t="inlineStr">
        <is>
          <t>搬迁令</t>
        </is>
      </c>
      <c r="C34" t="inlineStr">
        <is>
          <t>让头号房客搬出，为下一步计划腾出房间。</t>
        </is>
      </c>
      <c r="D34" t="inlineStr">
        <is>
          <t>Card_Event</t>
        </is>
      </c>
      <c r="E34" t="n">
        <v>1</v>
      </c>
      <c r="F34" t="inlineStr"/>
      <c r="G34" t="n">
        <v>25</v>
      </c>
      <c r="H34" t="n">
        <v>0</v>
      </c>
      <c r="I34" t="inlineStr">
        <is>
          <t>Room</t>
        </is>
      </c>
      <c r="J34" t="n">
        <v>0</v>
      </c>
      <c r="K34" t="n">
        <v>0</v>
      </c>
      <c r="L34" t="inlineStr"/>
      <c r="M34" t="inlineStr">
        <is>
          <t>MoveTenantToEmptyRoom|AddMoney;20</t>
        </is>
      </c>
      <c r="N34" t="inlineStr"/>
      <c r="O34" t="inlineStr"/>
    </row>
    <row r="35">
      <c r="A35" t="n">
        <v>1015</v>
      </c>
      <c r="B35" t="inlineStr">
        <is>
          <t>万能工</t>
        </is>
      </c>
      <c r="C35" t="inlineStr">
        <is>
          <t>保持房间硬件完好，照常交租。</t>
        </is>
      </c>
      <c r="D35" t="inlineStr">
        <is>
          <t>Card_Tenant</t>
        </is>
      </c>
      <c r="E35" t="n">
        <v>1</v>
      </c>
      <c r="F35" t="inlineStr"/>
      <c r="G35" t="n">
        <v>60</v>
      </c>
      <c r="H35" t="n">
        <v>30</v>
      </c>
      <c r="I35" t="inlineStr">
        <is>
          <t>Room</t>
        </is>
      </c>
      <c r="J35" t="n">
        <v>2</v>
      </c>
      <c r="K35" t="n">
        <v>5</v>
      </c>
      <c r="L35" t="inlineStr"/>
      <c r="M35" t="inlineStr"/>
      <c r="N35" t="inlineStr">
        <is>
          <t>AddEquipmentDurability;1</t>
        </is>
      </c>
      <c r="O35" t="inlineStr"/>
    </row>
    <row r="36">
      <c r="A36" t="n">
        <v>2008</v>
      </c>
      <c r="B36" t="inlineStr">
        <is>
          <t>额外书架</t>
        </is>
      </c>
      <c r="C36" t="inlineStr">
        <is>
          <t>为堆满的房间增加一个房客位置。</t>
        </is>
      </c>
      <c r="D36" t="inlineStr">
        <is>
          <t>Card_Equipt</t>
        </is>
      </c>
      <c r="E36" t="n">
        <v>1</v>
      </c>
      <c r="F36" t="inlineStr"/>
      <c r="G36" t="n">
        <v>80</v>
      </c>
      <c r="H36" t="n">
        <v>0</v>
      </c>
      <c r="I36" t="inlineStr">
        <is>
          <t>Room</t>
        </is>
      </c>
      <c r="J36" t="n">
        <v>0</v>
      </c>
      <c r="K36" t="n">
        <v>5</v>
      </c>
      <c r="L36" t="inlineStr"/>
      <c r="M36" t="inlineStr">
        <is>
          <t>ExpandSlot;1</t>
        </is>
      </c>
      <c r="N36" t="inlineStr"/>
      <c r="O36" t="inlineStr"/>
    </row>
    <row r="37">
      <c r="A37" t="n">
        <v>2009</v>
      </c>
      <c r="B37" t="inlineStr">
        <is>
          <t>电源插座</t>
        </is>
      </c>
      <c r="C37" t="inlineStr">
        <is>
          <t>温和升级让叠放设备保持高效。</t>
        </is>
      </c>
      <c r="D37" t="inlineStr">
        <is>
          <t>Card_Equipt</t>
        </is>
      </c>
      <c r="E37" t="n">
        <v>1</v>
      </c>
      <c r="F37" t="inlineStr"/>
      <c r="G37" t="n">
        <v>70</v>
      </c>
      <c r="H37" t="n">
        <v>0</v>
      </c>
      <c r="I37" t="inlineStr">
        <is>
          <t>Room</t>
        </is>
      </c>
      <c r="J37" t="n">
        <v>0</v>
      </c>
      <c r="K37" t="n">
        <v>5</v>
      </c>
      <c r="L37" t="inlineStr"/>
      <c r="M37" t="inlineStr"/>
      <c r="N37" t="inlineStr">
        <is>
          <t>AddMoney;10|AddEquipmentDurability;1</t>
        </is>
      </c>
      <c r="O37" t="inlineStr"/>
    </row>
    <row r="38">
      <c r="A38" t="n">
        <v>3009</v>
      </c>
      <c r="B38" t="inlineStr">
        <is>
          <t>维修队</t>
        </is>
      </c>
      <c r="C38" t="inlineStr">
        <is>
          <t>修复建筑并把维护费转化为小额收益。</t>
        </is>
      </c>
      <c r="D38" t="inlineStr">
        <is>
          <t>Card_Event</t>
        </is>
      </c>
      <c r="E38" t="n">
        <v>1</v>
      </c>
      <c r="F38" t="inlineStr"/>
      <c r="G38" t="n">
        <v>55</v>
      </c>
      <c r="H38" t="n">
        <v>0</v>
      </c>
      <c r="I38" t="inlineStr">
        <is>
          <t>PlayArea</t>
        </is>
      </c>
      <c r="J38" t="n">
        <v>0</v>
      </c>
      <c r="K38" t="n">
        <v>0</v>
      </c>
      <c r="L38" t="inlineStr"/>
      <c r="M38" t="inlineStr">
        <is>
          <t>AddEquipmentDurability;3|AddMoney;40</t>
        </is>
      </c>
      <c r="N38" t="inlineStr"/>
      <c r="O38" t="inlineStr"/>
    </row>
    <row r="39">
      <c r="A39" t="n">
        <v>2011</v>
      </c>
      <c r="B39" t="inlineStr">
        <is>
          <t>开放屋标志</t>
        </is>
      </c>
      <c r="C39" t="inlineStr">
        <is>
          <t>房屋越空，表现越好。</t>
        </is>
      </c>
      <c r="D39" t="inlineStr">
        <is>
          <t>Card_Equipt</t>
        </is>
      </c>
      <c r="E39" t="n">
        <v>1</v>
      </c>
      <c r="F39" t="inlineStr"/>
      <c r="G39" t="n">
        <v>70</v>
      </c>
      <c r="H39" t="n">
        <v>0</v>
      </c>
      <c r="I39" t="inlineStr">
        <is>
          <t>Room</t>
        </is>
      </c>
      <c r="J39" t="n">
        <v>0</v>
      </c>
      <c r="K39" t="n">
        <v>4</v>
      </c>
      <c r="L39" t="inlineStr"/>
      <c r="M39" t="inlineStr"/>
      <c r="N39" t="inlineStr">
        <is>
          <t>AddMoneyByEmptyRooms;15</t>
        </is>
      </c>
      <c r="O39" t="inlineStr"/>
    </row>
    <row r="40">
      <c r="A40" t="n">
        <v>4002</v>
      </c>
      <c r="B40" t="inlineStr">
        <is>
          <t>空房条款</t>
        </is>
      </c>
      <c r="C40" t="inlineStr">
        <is>
          <t>单位保持空房时付款更高。</t>
        </is>
      </c>
      <c r="D40" t="inlineStr">
        <is>
          <t>Card_Contract</t>
        </is>
      </c>
      <c r="E40" t="n">
        <v>1</v>
      </c>
      <c r="F40" t="inlineStr"/>
      <c r="G40" t="n">
        <v>100</v>
      </c>
      <c r="H40" t="n">
        <v>0</v>
      </c>
      <c r="I40" t="inlineStr">
        <is>
          <t>PlayArea</t>
        </is>
      </c>
      <c r="J40" t="n">
        <v>0</v>
      </c>
      <c r="K40" t="n">
        <v>4</v>
      </c>
      <c r="L40" t="inlineStr"/>
      <c r="M40" t="inlineStr"/>
      <c r="N40" t="inlineStr">
        <is>
          <t>AddMoneyByEmptyRooms;25</t>
        </is>
      </c>
      <c r="O40" t="inlineStr"/>
    </row>
    <row r="41">
      <c r="A41" t="n">
        <v>1017</v>
      </c>
      <c r="B41" t="inlineStr">
        <is>
          <t>楼层规划师</t>
        </is>
      </c>
      <c r="C41" t="inlineStr">
        <is>
          <t>每增加一个房间就赚一点。</t>
        </is>
      </c>
      <c r="D41" t="inlineStr">
        <is>
          <t>Card_Tenant</t>
        </is>
      </c>
      <c r="E41" t="n">
        <v>1</v>
      </c>
      <c r="F41" t="inlineStr"/>
      <c r="G41" t="n">
        <v>65</v>
      </c>
      <c r="H41" t="n">
        <v>28</v>
      </c>
      <c r="I41" t="inlineStr">
        <is>
          <t>Room</t>
        </is>
      </c>
      <c r="J41" t="n">
        <v>2</v>
      </c>
      <c r="K41" t="n">
        <v>5</v>
      </c>
      <c r="L41" t="inlineStr"/>
      <c r="M41" t="inlineStr"/>
      <c r="N41" t="inlineStr">
        <is>
          <t>AddMoneyByRoomCount;10</t>
        </is>
      </c>
      <c r="O41" t="inlineStr"/>
    </row>
    <row r="42">
      <c r="A42" t="n">
        <v>3012</v>
      </c>
      <c r="B42" t="inlineStr">
        <is>
          <t>施工许可</t>
        </is>
      </c>
      <c r="C42" t="inlineStr">
        <is>
          <t>增加一个房间并在手牌中替换自己。</t>
        </is>
      </c>
      <c r="D42" t="inlineStr">
        <is>
          <t>Card_Event</t>
        </is>
      </c>
      <c r="E42" t="n">
        <v>1</v>
      </c>
      <c r="F42" t="inlineStr"/>
      <c r="G42" t="n">
        <v>80</v>
      </c>
      <c r="H42" t="n">
        <v>0</v>
      </c>
      <c r="I42" t="inlineStr">
        <is>
          <t>PlayArea</t>
        </is>
      </c>
      <c r="J42" t="n">
        <v>0</v>
      </c>
      <c r="K42" t="n">
        <v>0</v>
      </c>
      <c r="L42" t="inlineStr"/>
      <c r="M42" t="inlineStr">
        <is>
          <t>AddRoom|DrawCard;1</t>
        </is>
      </c>
      <c r="N42" t="inlineStr"/>
      <c r="O42" t="inlineStr"/>
    </row>
    <row r="43">
      <c r="A43" t="n">
        <v>1019</v>
      </c>
      <c r="B43" t="inlineStr">
        <is>
          <t>夜间审计员</t>
        </is>
      </c>
      <c r="C43" t="inlineStr">
        <is>
          <t>选中的房间满客时支付更多。</t>
        </is>
      </c>
      <c r="D43" t="inlineStr">
        <is>
          <t>Card_Tenant</t>
        </is>
      </c>
      <c r="E43" t="n">
        <v>1</v>
      </c>
      <c r="F43" t="inlineStr"/>
      <c r="G43" t="n">
        <v>50</v>
      </c>
      <c r="H43" t="n">
        <v>20</v>
      </c>
      <c r="I43" t="inlineStr">
        <is>
          <t>Room</t>
        </is>
      </c>
      <c r="J43" t="n">
        <v>2</v>
      </c>
      <c r="K43" t="n">
        <v>4</v>
      </c>
      <c r="L43" t="inlineStr"/>
      <c r="M43" t="inlineStr"/>
      <c r="N43" t="inlineStr">
        <is>
          <t>AddMoneyBySelectedRoomTenantCount;20</t>
        </is>
      </c>
      <c r="O43" t="inlineStr"/>
    </row>
    <row r="44">
      <c r="A44" t="n">
        <v>3013</v>
      </c>
      <c r="B44" t="inlineStr">
        <is>
          <t>快速结算</t>
        </is>
      </c>
      <c r="C44" t="inlineStr">
        <is>
          <t>为选中的房间触发一次安全的额外结算。</t>
        </is>
      </c>
      <c r="D44" t="inlineStr">
        <is>
          <t>Card_Event</t>
        </is>
      </c>
      <c r="E44" t="n">
        <v>1</v>
      </c>
      <c r="F44" t="inlineStr"/>
      <c r="G44" t="n">
        <v>70</v>
      </c>
      <c r="H44" t="n">
        <v>0</v>
      </c>
      <c r="I44" t="inlineStr">
        <is>
          <t>Room</t>
        </is>
      </c>
      <c r="J44" t="n">
        <v>0</v>
      </c>
      <c r="K44" t="n">
        <v>0</v>
      </c>
      <c r="L44" t="inlineStr"/>
      <c r="M44" t="inlineStr">
        <is>
          <t>TriggerSelectedRoomSettle</t>
        </is>
      </c>
      <c r="N44" t="inlineStr"/>
      <c r="O44" t="inlineStr"/>
    </row>
    <row r="45">
      <c r="A45" t="n">
        <v>1001</v>
      </c>
      <c r="B45" t="inlineStr">
        <is>
          <t>工人</t>
        </is>
      </c>
      <c r="C45" t="inlineStr">
        <is>
          <t>勤快的工人，准时交租。</t>
        </is>
      </c>
      <c r="D45" t="inlineStr">
        <is>
          <t>Card_Tenant</t>
        </is>
      </c>
      <c r="E45" t="n">
        <v>0</v>
      </c>
      <c r="F45" t="inlineStr"/>
      <c r="G45" t="n">
        <v>50</v>
      </c>
      <c r="H45" t="n">
        <v>30</v>
      </c>
      <c r="I45" t="inlineStr">
        <is>
          <t>Room</t>
        </is>
      </c>
      <c r="J45" t="n">
        <v>2</v>
      </c>
      <c r="K45" t="n">
        <v>5</v>
      </c>
      <c r="L45" t="inlineStr"/>
      <c r="M45" t="inlineStr">
        <is>
          <t>AddMoney;60</t>
        </is>
      </c>
      <c r="N45" t="inlineStr"/>
      <c r="O45" t="inlineStr">
        <is>
          <t>ReduceMoney;30</t>
        </is>
      </c>
    </row>
    <row r="46">
      <c r="A46" t="n">
        <v>1005</v>
      </c>
      <c r="B46" t="inlineStr">
        <is>
          <t>学生</t>
        </is>
      </c>
      <c r="C46" t="inlineStr">
        <is>
          <t>房租便宜但租期短。</t>
        </is>
      </c>
      <c r="D46" t="inlineStr">
        <is>
          <t>Card_Tenant</t>
        </is>
      </c>
      <c r="E46" t="n">
        <v>0</v>
      </c>
      <c r="F46" t="inlineStr"/>
      <c r="G46" t="n">
        <v>30</v>
      </c>
      <c r="H46" t="n">
        <v>20</v>
      </c>
      <c r="I46" t="inlineStr">
        <is>
          <t>Room</t>
        </is>
      </c>
      <c r="J46" t="n">
        <v>2</v>
      </c>
      <c r="K46" t="n">
        <v>4</v>
      </c>
      <c r="L46" t="inlineStr"/>
      <c r="M46" t="inlineStr">
        <is>
          <t>AddMoney;40</t>
        </is>
      </c>
      <c r="N46" t="inlineStr"/>
      <c r="O46" t="inlineStr">
        <is>
          <t>ReduceMoney;20</t>
        </is>
      </c>
    </row>
    <row r="47">
      <c r="A47" t="n">
        <v>1010</v>
      </c>
      <c r="B47" t="inlineStr">
        <is>
          <t>快递员</t>
        </is>
      </c>
      <c r="C47" t="inlineStr">
        <is>
          <t>来得快，去得也快。</t>
        </is>
      </c>
      <c r="D47" t="inlineStr">
        <is>
          <t>Card_Tenant</t>
        </is>
      </c>
      <c r="E47" t="n">
        <v>0</v>
      </c>
      <c r="F47" t="inlineStr"/>
      <c r="G47" t="n">
        <v>40</v>
      </c>
      <c r="H47" t="n">
        <v>35</v>
      </c>
      <c r="I47" t="inlineStr">
        <is>
          <t>Room</t>
        </is>
      </c>
      <c r="J47" t="n">
        <v>2</v>
      </c>
      <c r="K47" t="n">
        <v>3</v>
      </c>
      <c r="L47" t="inlineStr"/>
      <c r="M47" t="inlineStr">
        <is>
          <t>AddMoney;70</t>
        </is>
      </c>
      <c r="N47" t="inlineStr"/>
      <c r="O47" t="inlineStr">
        <is>
          <t>ReduceMoney;35</t>
        </is>
      </c>
    </row>
    <row r="48">
      <c r="A48" t="n">
        <v>2003</v>
      </c>
      <c r="B48" t="inlineStr">
        <is>
          <t>热水器</t>
        </is>
      </c>
      <c r="C48" t="inlineStr">
        <is>
          <t>基础设施，耐用性强。</t>
        </is>
      </c>
      <c r="D48" t="inlineStr">
        <is>
          <t>Card_Equipt</t>
        </is>
      </c>
      <c r="E48" t="n">
        <v>0</v>
      </c>
      <c r="F48" t="inlineStr"/>
      <c r="G48" t="n">
        <v>60</v>
      </c>
      <c r="H48" t="n">
        <v>0</v>
      </c>
      <c r="I48" t="inlineStr">
        <is>
          <t>Room</t>
        </is>
      </c>
      <c r="J48" t="n">
        <v>0</v>
      </c>
      <c r="K48" t="n">
        <v>8</v>
      </c>
      <c r="L48" t="inlineStr"/>
      <c r="M48" t="inlineStr"/>
      <c r="N48" t="inlineStr">
        <is>
          <t>AddMoney;5</t>
        </is>
      </c>
      <c r="O48" t="inlineStr"/>
    </row>
    <row r="49">
      <c r="A49" t="n">
        <v>3001</v>
      </c>
      <c r="B49" t="inlineStr">
        <is>
          <t>租金奖励</t>
        </is>
      </c>
      <c r="C49" t="inlineStr">
        <is>
          <t>额外的租金收入。</t>
        </is>
      </c>
      <c r="D49" t="inlineStr">
        <is>
          <t>Card_Event</t>
        </is>
      </c>
      <c r="E49" t="n">
        <v>0</v>
      </c>
      <c r="F49" t="inlineStr"/>
      <c r="G49" t="n">
        <v>0</v>
      </c>
      <c r="H49" t="n">
        <v>0</v>
      </c>
      <c r="I49" t="inlineStr">
        <is>
          <t>PlayArea</t>
        </is>
      </c>
      <c r="J49" t="n">
        <v>0</v>
      </c>
      <c r="K49" t="n">
        <v>0</v>
      </c>
      <c r="L49" t="inlineStr"/>
      <c r="M49" t="inlineStr">
        <is>
          <t>AddMoney;200</t>
        </is>
      </c>
      <c r="N49" t="inlineStr"/>
      <c r="O49" t="inlineStr"/>
    </row>
    <row r="50">
      <c r="A50" t="n">
        <v>3006</v>
      </c>
      <c r="B50" t="inlineStr">
        <is>
          <t>催租单</t>
        </is>
      </c>
      <c r="C50" t="inlineStr">
        <is>
          <t>小小推动让房客继续交租和现金流动。</t>
        </is>
      </c>
      <c r="D50" t="inlineStr">
        <is>
          <t>Card_Event</t>
        </is>
      </c>
      <c r="E50" t="n">
        <v>0</v>
      </c>
      <c r="F50" t="inlineStr"/>
      <c r="G50" t="n">
        <v>40</v>
      </c>
      <c r="H50" t="n">
        <v>0</v>
      </c>
      <c r="I50" t="inlineStr">
        <is>
          <t>PlayArea</t>
        </is>
      </c>
      <c r="J50" t="n">
        <v>0</v>
      </c>
      <c r="K50" t="n">
        <v>0</v>
      </c>
      <c r="L50" t="inlineStr"/>
      <c r="M50" t="inlineStr">
        <is>
          <t>AddMoney;60|AddTenantDurability;2</t>
        </is>
      </c>
      <c r="N50" t="inlineStr"/>
      <c r="O50" t="inlineStr"/>
    </row>
    <row r="51">
      <c r="A51" t="n">
        <v>1013</v>
      </c>
      <c r="B51" t="inlineStr">
        <is>
          <t>临时工</t>
        </is>
      </c>
      <c r="C51" t="inlineStr">
        <is>
          <t>便宜入场，快速回报，快速退出。</t>
        </is>
      </c>
      <c r="D51" t="inlineStr">
        <is>
          <t>Card_Tenant</t>
        </is>
      </c>
      <c r="E51" t="n">
        <v>0</v>
      </c>
      <c r="F51" t="inlineStr"/>
      <c r="G51" t="n">
        <v>55</v>
      </c>
      <c r="H51" t="n">
        <v>25</v>
      </c>
      <c r="I51" t="inlineStr">
        <is>
          <t>Room</t>
        </is>
      </c>
      <c r="J51" t="n">
        <v>2</v>
      </c>
      <c r="K51" t="n">
        <v>4</v>
      </c>
      <c r="L51" t="inlineStr"/>
      <c r="M51" t="inlineStr"/>
      <c r="N51" t="inlineStr"/>
      <c r="O51" t="inlineStr">
        <is>
          <t>AddMoney;50</t>
        </is>
      </c>
    </row>
    <row r="52">
      <c r="A52" t="n">
        <v>1016</v>
      </c>
      <c r="B52" t="inlineStr">
        <is>
          <t>转租户</t>
        </is>
      </c>
      <c r="C52" t="inlineStr">
        <is>
          <t>低租金把闲置单位变成额外收入。</t>
        </is>
      </c>
      <c r="D52" t="inlineStr">
        <is>
          <t>Card_Tenant</t>
        </is>
      </c>
      <c r="E52" t="n">
        <v>0</v>
      </c>
      <c r="F52" t="inlineStr"/>
      <c r="G52" t="n">
        <v>45</v>
      </c>
      <c r="H52" t="n">
        <v>20</v>
      </c>
      <c r="I52" t="inlineStr">
        <is>
          <t>Room</t>
        </is>
      </c>
      <c r="J52" t="n">
        <v>2</v>
      </c>
      <c r="K52" t="n">
        <v>4</v>
      </c>
      <c r="L52" t="inlineStr"/>
      <c r="M52" t="inlineStr"/>
      <c r="N52" t="inlineStr">
        <is>
          <t>AddMoneyByEmptyRooms;10</t>
        </is>
      </c>
      <c r="O52" t="inlineStr"/>
    </row>
    <row r="53">
      <c r="A53" t="n">
        <v>3010</v>
      </c>
      <c r="B53" t="inlineStr">
        <is>
          <t>空房清单</t>
        </is>
      </c>
      <c r="C53" t="inlineStr">
        <is>
          <t>有人搬出时立即从空单位变现。</t>
        </is>
      </c>
      <c r="D53" t="inlineStr">
        <is>
          <t>Card_Event</t>
        </is>
      </c>
      <c r="E53" t="n">
        <v>0</v>
      </c>
      <c r="F53" t="inlineStr"/>
      <c r="G53" t="n">
        <v>20</v>
      </c>
      <c r="H53" t="n">
        <v>0</v>
      </c>
      <c r="I53" t="inlineStr">
        <is>
          <t>Room</t>
        </is>
      </c>
      <c r="J53" t="n">
        <v>0</v>
      </c>
      <c r="K53" t="n">
        <v>0</v>
      </c>
      <c r="L53" t="inlineStr"/>
      <c r="M53" t="inlineStr">
        <is>
          <t>EvictTenantInSelectedRoom|AddMoneyByEmptyRooms;20</t>
        </is>
      </c>
      <c r="N53" t="inlineStr"/>
      <c r="O53" t="inlineStr"/>
    </row>
    <row r="54">
      <c r="A54" t="n">
        <v>3011</v>
      </c>
      <c r="B54" t="inlineStr">
        <is>
          <t>折扣传单</t>
        </is>
      </c>
      <c r="C54" t="inlineStr">
        <is>
          <t>把冷淡市场变成立即抽牌。</t>
        </is>
      </c>
      <c r="D54" t="inlineStr">
        <is>
          <t>Card_Event</t>
        </is>
      </c>
      <c r="E54" t="n">
        <v>0</v>
      </c>
      <c r="F54" t="inlineStr"/>
      <c r="G54" t="n">
        <v>0</v>
      </c>
      <c r="H54" t="n">
        <v>0</v>
      </c>
      <c r="I54" t="inlineStr">
        <is>
          <t>PlayArea</t>
        </is>
      </c>
      <c r="J54" t="n">
        <v>0</v>
      </c>
      <c r="K54" t="n">
        <v>0</v>
      </c>
      <c r="L54" t="inlineStr"/>
      <c r="M54" t="inlineStr">
        <is>
          <t>DrawCard;1|AddMoneyByEmptyRooms;10</t>
        </is>
      </c>
      <c r="N54" t="inlineStr"/>
      <c r="O54" t="inlineStr"/>
    </row>
    <row r="55">
      <c r="A55" t="n">
        <v>2014</v>
      </c>
      <c r="B55" t="inlineStr">
        <is>
          <t>隔音板</t>
        </is>
      </c>
      <c r="C55" t="inlineStr">
        <is>
          <t>本房间有安静租客时，额外增加收入。</t>
        </is>
      </c>
      <c r="D55" t="inlineStr">
        <is>
          <t>Card_Equipt</t>
        </is>
      </c>
      <c r="E55" t="n">
        <v>1</v>
      </c>
      <c r="F55" t="inlineStr"/>
      <c r="G55" t="n">
        <v>150</v>
      </c>
      <c r="H55" t="n">
        <v>0</v>
      </c>
      <c r="I55" t="inlineStr">
        <is>
          <t>Room</t>
        </is>
      </c>
      <c r="J55" t="n">
        <v>0</v>
      </c>
      <c r="K55" t="n">
        <v>4</v>
      </c>
      <c r="L55" t="inlineStr"/>
      <c r="M55" t="inlineStr"/>
      <c r="N55" t="inlineStr">
        <is>
          <t>AddMoneyIfAffixInRoom;Quiet;200</t>
        </is>
      </c>
      <c r="O55" t="inlineStr"/>
      <c r="P55" t="inlineStr"/>
    </row>
    <row r="56">
      <c r="A56" t="n">
        <v>2015</v>
      </c>
      <c r="B56" t="inlineStr">
        <is>
          <t>精装书架</t>
        </is>
      </c>
      <c r="C56" t="inlineStr">
        <is>
          <t>本房间有安静租客时，收入获得乘成加成。</t>
        </is>
      </c>
      <c r="D56" t="inlineStr">
        <is>
          <t>Card_Equipt</t>
        </is>
      </c>
      <c r="E56" t="n">
        <v>2</v>
      </c>
      <c r="F56" t="inlineStr"/>
      <c r="G56" t="n">
        <v>300</v>
      </c>
      <c r="H56" t="n">
        <v>0</v>
      </c>
      <c r="I56" t="inlineStr">
        <is>
          <t>Room</t>
        </is>
      </c>
      <c r="J56" t="n">
        <v>0</v>
      </c>
      <c r="K56" t="n">
        <v>3</v>
      </c>
      <c r="L56" t="inlineStr"/>
      <c r="M56" t="inlineStr"/>
      <c r="N56" t="inlineStr">
        <is>
          <t>MultiplyIfAffixInRoom;Quiet;1.5</t>
        </is>
      </c>
      <c r="O56" t="inlineStr"/>
      <c r="P56" t="inlineStr"/>
    </row>
    <row r="57">
      <c r="A57" t="n">
        <v>2016</v>
      </c>
      <c r="B57" t="inlineStr">
        <is>
          <t>全屋静音套装</t>
        </is>
      </c>
      <c r="C57" t="inlineStr">
        <is>
          <t>本房间及两侧均有安静租客时，大幅提升收入。</t>
        </is>
      </c>
      <c r="D57" t="inlineStr">
        <is>
          <t>Card_Equipt</t>
        </is>
      </c>
      <c r="E57" t="n">
        <v>3</v>
      </c>
      <c r="F57" t="inlineStr"/>
      <c r="G57" t="n">
        <v>500</v>
      </c>
      <c r="H57" t="n">
        <v>0</v>
      </c>
      <c r="I57" t="inlineStr">
        <is>
          <t>Room</t>
        </is>
      </c>
      <c r="J57" t="n">
        <v>0</v>
      </c>
      <c r="K57" t="n">
        <v>3</v>
      </c>
      <c r="L57" t="inlineStr"/>
      <c r="M57" t="inlineStr"/>
      <c r="N57" t="inlineStr">
        <is>
          <t>MultiplyIfAllAdjacentAffix;Quiet;2.0</t>
        </is>
      </c>
      <c r="O57" t="inlineStr"/>
      <c r="P57" t="inlineStr"/>
    </row>
    <row r="58">
      <c r="A58" t="n">
        <v>4005</v>
      </c>
      <c r="B58" t="inlineStr">
        <is>
          <t>安静公约</t>
        </is>
      </c>
      <c r="C58" t="inlineStr">
        <is>
          <t>场上每位安静租客每回合额外贡献收入。</t>
        </is>
      </c>
      <c r="D58" t="inlineStr">
        <is>
          <t>Card_Contract</t>
        </is>
      </c>
      <c r="E58" t="n">
        <v>2</v>
      </c>
      <c r="F58" t="inlineStr"/>
      <c r="G58" t="n">
        <v>200</v>
      </c>
      <c r="H58" t="n">
        <v>0</v>
      </c>
      <c r="I58" t="inlineStr">
        <is>
          <t>PlayArea</t>
        </is>
      </c>
      <c r="J58" t="n">
        <v>0</v>
      </c>
      <c r="K58" t="n">
        <v>4</v>
      </c>
      <c r="L58" t="inlineStr"/>
      <c r="M58" t="inlineStr"/>
      <c r="N58" t="inlineStr">
        <is>
          <t>AddMoneyPerAffixOnBoard;Quiet;200</t>
        </is>
      </c>
      <c r="O58" t="inlineStr"/>
      <c r="P58" t="inlineStr"/>
    </row>
    <row r="59">
      <c r="A59" t="n">
        <v>4006</v>
      </c>
      <c r="B59" t="inlineStr">
        <is>
          <t>居家认证</t>
        </is>
      </c>
      <c r="C59" t="inlineStr">
        <is>
          <t>有安静租客的每个房间收入获得乘成。</t>
        </is>
      </c>
      <c r="D59" t="inlineStr">
        <is>
          <t>Card_Contract</t>
        </is>
      </c>
      <c r="E59" t="n">
        <v>2</v>
      </c>
      <c r="F59" t="inlineStr"/>
      <c r="G59" t="n">
        <v>300</v>
      </c>
      <c r="H59" t="n">
        <v>0</v>
      </c>
      <c r="I59" t="inlineStr">
        <is>
          <t>PlayArea</t>
        </is>
      </c>
      <c r="J59" t="n">
        <v>0</v>
      </c>
      <c r="K59" t="n">
        <v>3</v>
      </c>
      <c r="L59" t="inlineStr"/>
      <c r="M59" t="inlineStr"/>
      <c r="N59" t="inlineStr">
        <is>
          <t>AffixRoomMultiplier;Quiet;1.5</t>
        </is>
      </c>
      <c r="O59" t="inlineStr"/>
      <c r="P59" t="inlineStr"/>
    </row>
    <row r="60">
      <c r="A60" t="n">
        <v>4007</v>
      </c>
      <c r="B60" t="inlineStr">
        <is>
          <t>静谧奖励</t>
        </is>
      </c>
      <c r="C60" t="inlineStr">
        <is>
          <t>场上安静租客越多，每回合额外收入越高。</t>
        </is>
      </c>
      <c r="D60" t="inlineStr">
        <is>
          <t>Card_Contract</t>
        </is>
      </c>
      <c r="E60" t="n">
        <v>1</v>
      </c>
      <c r="F60" t="inlineStr"/>
      <c r="G60" t="n">
        <v>150</v>
      </c>
      <c r="H60" t="n">
        <v>0</v>
      </c>
      <c r="I60" t="inlineStr">
        <is>
          <t>PlayArea</t>
        </is>
      </c>
      <c r="J60" t="n">
        <v>0</v>
      </c>
      <c r="K60" t="n">
        <v>5</v>
      </c>
      <c r="L60" t="inlineStr"/>
      <c r="M60" t="inlineStr"/>
      <c r="N60" t="inlineStr">
        <is>
          <t>AddMoneyPerAffixOnBoard;Quiet;100</t>
        </is>
      </c>
      <c r="O60" t="inlineStr"/>
      <c r="P60" t="inlineStr"/>
    </row>
    <row r="61">
      <c r="A61" t="n">
        <v>4008</v>
      </c>
      <c r="B61" t="inlineStr">
        <is>
          <t>沉默协议</t>
        </is>
      </c>
      <c r="C61" t="inlineStr">
        <is>
          <t>本回合所有安静房间额外结算一次。</t>
        </is>
      </c>
      <c r="D61" t="inlineStr">
        <is>
          <t>Card_Contract</t>
        </is>
      </c>
      <c r="E61" t="n">
        <v>3</v>
      </c>
      <c r="F61" t="inlineStr"/>
      <c r="G61" t="n">
        <v>400</v>
      </c>
      <c r="H61" t="n">
        <v>0</v>
      </c>
      <c r="I61" t="inlineStr">
        <is>
          <t>PlayArea</t>
        </is>
      </c>
      <c r="J61" t="n">
        <v>0</v>
      </c>
      <c r="K61" t="n">
        <v>2</v>
      </c>
      <c r="L61" t="inlineStr"/>
      <c r="M61" t="inlineStr"/>
      <c r="N61" t="inlineStr">
        <is>
          <t>TriggerSettleRoomsWithAffix;Quiet</t>
        </is>
      </c>
      <c r="O61" t="inlineStr"/>
      <c r="P61" t="inlineStr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0"/>
  <sheetViews>
    <sheetView tabSelected="1" topLeftCell="A133" workbookViewId="0">
      <selection activeCell="K137" sqref="K137"/>
    </sheetView>
  </sheetViews>
  <sheetFormatPr baseColWidth="8" defaultColWidth="9" defaultRowHeight="13.5"/>
  <cols>
    <col width="15.125" customWidth="1" style="14" min="1" max="1"/>
    <col width="15.375" customWidth="1" style="14" min="2" max="2"/>
    <col width="14.5" customWidth="1" style="14" min="3" max="3"/>
    <col width="13.75" customWidth="1" style="3" min="4" max="4"/>
    <col width="12.125" customWidth="1" style="14" min="5" max="5"/>
  </cols>
  <sheetData>
    <row r="1" customFormat="1" s="1">
      <c r="A1" s="1" t="inlineStr">
        <is>
          <t>牌库Id</t>
        </is>
      </c>
      <c r="B1" s="1" t="inlineStr">
        <is>
          <t>卡牌Id</t>
        </is>
      </c>
      <c r="C1" s="1" t="inlineStr">
        <is>
          <t>卡牌数量</t>
        </is>
      </c>
      <c r="D1" s="4" t="inlineStr">
        <is>
          <t>后续不读</t>
        </is>
      </c>
      <c r="E1" s="5" t="inlineStr">
        <is>
          <t>卡牌名称</t>
        </is>
      </c>
      <c r="F1" s="5" t="inlineStr">
        <is>
          <t>稀有度</t>
        </is>
      </c>
    </row>
    <row r="2" customFormat="1" s="2">
      <c r="A2" s="2" t="inlineStr">
        <is>
          <t>libraryId</t>
        </is>
      </c>
      <c r="B2" s="2" t="inlineStr">
        <is>
          <t>cardId</t>
        </is>
      </c>
      <c r="C2" s="2" t="inlineStr">
        <is>
          <t>quantity</t>
        </is>
      </c>
      <c r="D2" s="6" t="n"/>
      <c r="E2" s="6" t="n"/>
      <c r="F2" s="6" t="n"/>
    </row>
    <row r="3" customFormat="1" s="2">
      <c r="A3" s="2" t="inlineStr">
        <is>
          <t>int</t>
        </is>
      </c>
      <c r="B3" s="2" t="inlineStr">
        <is>
          <t>int</t>
        </is>
      </c>
      <c r="C3" s="2" t="inlineStr">
        <is>
          <t>int</t>
        </is>
      </c>
      <c r="D3" s="7" t="n"/>
      <c r="E3" s="7" t="n"/>
      <c r="F3" s="7" t="n"/>
    </row>
    <row r="4">
      <c r="A4" s="8" t="n">
        <v>0</v>
      </c>
      <c r="B4" s="8" t="n">
        <v>1002</v>
      </c>
      <c r="C4" s="8" t="n">
        <v>1</v>
      </c>
      <c r="D4" s="8" t="n"/>
      <c r="E4" s="8">
        <f>_xlfn.XLOOKUP(B4,CardData!A:A,CardData!B:B,"")</f>
        <v/>
      </c>
      <c r="F4" s="8">
        <f>_xlfn.XLOOKUP(B4,CardData!$A:$A,CardData!E:E,"None")</f>
        <v/>
      </c>
    </row>
    <row r="5">
      <c r="A5" s="8" t="n">
        <v>0</v>
      </c>
      <c r="B5" s="8" t="n">
        <v>1004</v>
      </c>
      <c r="C5" s="8" t="n">
        <v>1</v>
      </c>
      <c r="D5" s="8" t="n"/>
      <c r="E5" s="8">
        <f>_xlfn.XLOOKUP(B5,CardData!A:A,CardData!B:B,"")</f>
        <v/>
      </c>
      <c r="F5" s="8">
        <f>_xlfn.XLOOKUP(B5,CardData!$A:$A,CardData!E:E,"None")</f>
        <v/>
      </c>
    </row>
    <row r="6">
      <c r="A6" s="8" t="n">
        <v>0</v>
      </c>
      <c r="B6" s="8" t="n">
        <v>1008</v>
      </c>
      <c r="C6" s="8" t="n">
        <v>1</v>
      </c>
      <c r="D6" s="8" t="n"/>
      <c r="E6" s="8">
        <f>_xlfn.XLOOKUP(B6,CardData!A:A,CardData!B:B,"")</f>
        <v/>
      </c>
      <c r="F6" s="8">
        <f>_xlfn.XLOOKUP(B6,CardData!$A:$A,CardData!E:E,"None")</f>
        <v/>
      </c>
    </row>
    <row r="7">
      <c r="A7" s="8" t="n">
        <v>0</v>
      </c>
      <c r="B7" s="8" t="n">
        <v>1009</v>
      </c>
      <c r="C7" s="8" t="n">
        <v>1</v>
      </c>
      <c r="D7" s="8" t="n"/>
      <c r="E7" s="8">
        <f>_xlfn.XLOOKUP(B7,CardData!A:A,CardData!B:B,"")</f>
        <v/>
      </c>
      <c r="F7" s="8">
        <f>_xlfn.XLOOKUP(B7,CardData!$A:$A,CardData!E:E,"None")</f>
        <v/>
      </c>
    </row>
    <row r="8">
      <c r="A8" s="8" t="n">
        <v>0</v>
      </c>
      <c r="B8" s="8" t="n">
        <v>2001</v>
      </c>
      <c r="C8" s="8" t="n">
        <v>1</v>
      </c>
      <c r="D8" s="8" t="n"/>
      <c r="E8" s="8">
        <f>_xlfn.XLOOKUP(B8,CardData!A:A,CardData!B:B,"")</f>
        <v/>
      </c>
      <c r="F8" s="8">
        <f>_xlfn.XLOOKUP(B8,CardData!$A:$A,CardData!E:E,"None")</f>
        <v/>
      </c>
    </row>
    <row r="9">
      <c r="A9" s="8" t="n">
        <v>0</v>
      </c>
      <c r="B9" s="8" t="n">
        <v>2004</v>
      </c>
      <c r="C9" s="8" t="n">
        <v>1</v>
      </c>
      <c r="D9" s="8" t="n"/>
      <c r="E9" s="8">
        <f>_xlfn.XLOOKUP(B9,CardData!A:A,CardData!B:B,"")</f>
        <v/>
      </c>
      <c r="F9" s="8">
        <f>_xlfn.XLOOKUP(B9,CardData!$A:$A,CardData!E:E,"None")</f>
        <v/>
      </c>
    </row>
    <row r="10">
      <c r="A10" s="8" t="n">
        <v>0</v>
      </c>
      <c r="B10" s="8" t="n">
        <v>2005</v>
      </c>
      <c r="C10" s="8" t="n">
        <v>1</v>
      </c>
      <c r="D10" s="8" t="n"/>
      <c r="E10" s="8">
        <f>_xlfn.XLOOKUP(B10,CardData!A:A,CardData!B:B,"")</f>
        <v/>
      </c>
      <c r="F10" s="8">
        <f>_xlfn.XLOOKUP(B10,CardData!$A:$A,CardData!E:E,"None")</f>
        <v/>
      </c>
    </row>
    <row r="11">
      <c r="A11" s="8" t="n">
        <v>0</v>
      </c>
      <c r="B11" s="8" t="n">
        <v>3002</v>
      </c>
      <c r="C11" s="8" t="n">
        <v>1</v>
      </c>
      <c r="D11" s="8" t="n"/>
      <c r="E11" s="8">
        <f>_xlfn.XLOOKUP(B11,CardData!A:A,CardData!B:B,"")</f>
        <v/>
      </c>
      <c r="F11" s="8">
        <f>_xlfn.XLOOKUP(B11,CardData!$A:$A,CardData!E:E,"None")</f>
        <v/>
      </c>
    </row>
    <row r="12">
      <c r="A12" s="8" t="n">
        <v>0</v>
      </c>
      <c r="B12" s="8" t="n">
        <v>3003</v>
      </c>
      <c r="C12" s="8" t="n">
        <v>1</v>
      </c>
      <c r="D12" s="8" t="n"/>
      <c r="E12" s="8">
        <f>_xlfn.XLOOKUP(B12,CardData!A:A,CardData!B:B,"")</f>
        <v/>
      </c>
      <c r="F12" s="8">
        <f>_xlfn.XLOOKUP(B12,CardData!$A:$A,CardData!E:E,"None")</f>
        <v/>
      </c>
    </row>
    <row r="13">
      <c r="A13" s="8" t="n">
        <v>0</v>
      </c>
      <c r="B13" s="8" t="n">
        <v>3004</v>
      </c>
      <c r="C13" s="8" t="n">
        <v>1</v>
      </c>
      <c r="D13" s="8" t="n"/>
      <c r="E13" s="8">
        <f>_xlfn.XLOOKUP(B13,CardData!A:A,CardData!B:B,"")</f>
        <v/>
      </c>
      <c r="F13" s="8">
        <f>_xlfn.XLOOKUP(B13,CardData!$A:$A,CardData!E:E,"None")</f>
        <v/>
      </c>
    </row>
    <row r="14">
      <c r="A14" s="8" t="n">
        <v>0</v>
      </c>
      <c r="B14" s="8" t="n">
        <v>1011</v>
      </c>
      <c r="C14" s="8" t="n">
        <v>1</v>
      </c>
      <c r="D14" s="8" t="n"/>
      <c r="E14" s="8">
        <f>_xlfn.XLOOKUP(B14,CardData!A:A,CardData!B:B,"")</f>
        <v/>
      </c>
      <c r="F14" s="8">
        <f>_xlfn.XLOOKUP(B14,CardData!$A:$A,CardData!E:E,"None")</f>
        <v/>
      </c>
    </row>
    <row r="15">
      <c r="A15" s="8" t="n">
        <v>0</v>
      </c>
      <c r="B15" s="8" t="n">
        <v>2006</v>
      </c>
      <c r="C15" s="8" t="n">
        <v>1</v>
      </c>
      <c r="D15" s="8" t="n"/>
      <c r="E15" s="8">
        <f>_xlfn.XLOOKUP(B15,CardData!A:A,CardData!B:B,"")</f>
        <v/>
      </c>
      <c r="F15" s="8">
        <f>_xlfn.XLOOKUP(B15,CardData!$A:$A,CardData!E:E,"None")</f>
        <v/>
      </c>
    </row>
    <row r="16">
      <c r="A16" s="8" t="n">
        <v>0</v>
      </c>
      <c r="B16" s="8" t="n">
        <v>4001</v>
      </c>
      <c r="C16" s="8" t="n">
        <v>1</v>
      </c>
      <c r="D16" s="8" t="n"/>
      <c r="E16" s="8">
        <f>_xlfn.XLOOKUP(B16,CardData!A:A,CardData!B:B,"")</f>
        <v/>
      </c>
      <c r="F16" s="8">
        <f>_xlfn.XLOOKUP(B16,CardData!$A:$A,CardData!E:E,"None")</f>
        <v/>
      </c>
    </row>
    <row r="17">
      <c r="A17" s="8" t="n">
        <v>0</v>
      </c>
      <c r="B17" s="8" t="n">
        <v>1014</v>
      </c>
      <c r="C17" s="8" t="n">
        <v>1</v>
      </c>
      <c r="D17" s="8" t="n"/>
      <c r="E17" s="8">
        <f>_xlfn.XLOOKUP(B17,CardData!A:A,CardData!B:B,"")</f>
        <v/>
      </c>
      <c r="F17" s="8">
        <f>_xlfn.XLOOKUP(B17,CardData!$A:$A,CardData!E:E,"None")</f>
        <v/>
      </c>
    </row>
    <row r="18">
      <c r="A18" s="8" t="n">
        <v>0</v>
      </c>
      <c r="B18" s="8" t="n">
        <v>2007</v>
      </c>
      <c r="C18" s="8" t="n">
        <v>1</v>
      </c>
      <c r="D18" s="8" t="n"/>
      <c r="E18" s="8">
        <f>_xlfn.XLOOKUP(B18,CardData!A:A,CardData!B:B,"")</f>
        <v/>
      </c>
      <c r="F18" s="8">
        <f>_xlfn.XLOOKUP(B18,CardData!$A:$A,CardData!E:E,"None")</f>
        <v/>
      </c>
    </row>
    <row r="19">
      <c r="A19" s="8" t="n">
        <v>0</v>
      </c>
      <c r="B19" s="8" t="n">
        <v>3007</v>
      </c>
      <c r="C19" s="8" t="n">
        <v>1</v>
      </c>
      <c r="D19" s="8" t="n"/>
      <c r="E19" s="8">
        <f>_xlfn.XLOOKUP(B19,CardData!A:A,CardData!B:B,"")</f>
        <v/>
      </c>
      <c r="F19" s="8">
        <f>_xlfn.XLOOKUP(B19,CardData!$A:$A,CardData!E:E,"None")</f>
        <v/>
      </c>
    </row>
    <row r="20">
      <c r="A20" s="8" t="n">
        <v>0</v>
      </c>
      <c r="B20" s="8" t="n">
        <v>3008</v>
      </c>
      <c r="C20" s="8" t="n">
        <v>1</v>
      </c>
      <c r="D20" s="8" t="n"/>
      <c r="E20" s="8">
        <f>_xlfn.XLOOKUP(B20,CardData!A:A,CardData!B:B,"")</f>
        <v/>
      </c>
      <c r="F20" s="8">
        <f>_xlfn.XLOOKUP(B20,CardData!$A:$A,CardData!E:E,"None")</f>
        <v/>
      </c>
    </row>
    <row r="21">
      <c r="A21" s="8" t="n">
        <v>0</v>
      </c>
      <c r="B21" s="8" t="n">
        <v>1015</v>
      </c>
      <c r="C21" s="8" t="n">
        <v>1</v>
      </c>
      <c r="D21" s="8" t="n"/>
      <c r="E21" s="8">
        <f>_xlfn.XLOOKUP(B21,CardData!A:A,CardData!B:B,"")</f>
        <v/>
      </c>
      <c r="F21" s="8">
        <f>_xlfn.XLOOKUP(B21,CardData!$A:$A,CardData!E:E,"None")</f>
        <v/>
      </c>
    </row>
    <row r="22">
      <c r="A22" s="8" t="n">
        <v>0</v>
      </c>
      <c r="B22" s="8" t="n">
        <v>2008</v>
      </c>
      <c r="C22" s="8" t="n">
        <v>1</v>
      </c>
      <c r="D22" s="8" t="n"/>
      <c r="E22" s="8">
        <f>_xlfn.XLOOKUP(B22,CardData!A:A,CardData!B:B,"")</f>
        <v/>
      </c>
      <c r="F22" s="8">
        <f>_xlfn.XLOOKUP(B22,CardData!$A:$A,CardData!E:E,"None")</f>
        <v/>
      </c>
    </row>
    <row r="23">
      <c r="A23" s="8" t="n">
        <v>0</v>
      </c>
      <c r="B23" s="8" t="n">
        <v>2009</v>
      </c>
      <c r="C23" s="8" t="n">
        <v>1</v>
      </c>
      <c r="D23" s="8" t="n"/>
      <c r="E23" s="8">
        <f>_xlfn.XLOOKUP(B23,CardData!A:A,CardData!B:B,"")</f>
        <v/>
      </c>
      <c r="F23" s="8">
        <f>_xlfn.XLOOKUP(B23,CardData!$A:$A,CardData!E:E,"None")</f>
        <v/>
      </c>
    </row>
    <row r="24">
      <c r="A24" s="8" t="n">
        <v>0</v>
      </c>
      <c r="B24" s="8" t="n">
        <v>3009</v>
      </c>
      <c r="C24" s="8" t="n">
        <v>1</v>
      </c>
      <c r="D24" s="8" t="n"/>
      <c r="E24" s="8">
        <f>_xlfn.XLOOKUP(B24,CardData!A:A,CardData!B:B,"")</f>
        <v/>
      </c>
      <c r="F24" s="8">
        <f>_xlfn.XLOOKUP(B24,CardData!$A:$A,CardData!E:E,"None")</f>
        <v/>
      </c>
    </row>
    <row r="25">
      <c r="A25" s="8" t="n">
        <v>0</v>
      </c>
      <c r="B25" s="8" t="n">
        <v>2011</v>
      </c>
      <c r="C25" s="8" t="n">
        <v>1</v>
      </c>
      <c r="D25" s="8" t="n"/>
      <c r="E25" s="8">
        <f>_xlfn.XLOOKUP(B25,CardData!A:A,CardData!B:B,"")</f>
        <v/>
      </c>
      <c r="F25" s="8">
        <f>_xlfn.XLOOKUP(B25,CardData!$A:$A,CardData!E:E,"None")</f>
        <v/>
      </c>
    </row>
    <row r="26">
      <c r="A26" s="8" t="n">
        <v>0</v>
      </c>
      <c r="B26" s="8" t="n">
        <v>4002</v>
      </c>
      <c r="C26" s="8" t="n">
        <v>1</v>
      </c>
      <c r="D26" s="8" t="n"/>
      <c r="E26" s="8">
        <f>_xlfn.XLOOKUP(B26,CardData!A:A,CardData!B:B,"")</f>
        <v/>
      </c>
      <c r="F26" s="8">
        <f>_xlfn.XLOOKUP(B26,CardData!$A:$A,CardData!E:E,"None")</f>
        <v/>
      </c>
    </row>
    <row r="27">
      <c r="A27" s="8" t="n">
        <v>0</v>
      </c>
      <c r="B27" s="8" t="n">
        <v>1017</v>
      </c>
      <c r="C27" s="8" t="n">
        <v>1</v>
      </c>
      <c r="D27" s="8" t="n"/>
      <c r="E27" s="8">
        <f>_xlfn.XLOOKUP(B27,CardData!A:A,CardData!B:B,"")</f>
        <v/>
      </c>
      <c r="F27" s="8">
        <f>_xlfn.XLOOKUP(B27,CardData!$A:$A,CardData!E:E,"None")</f>
        <v/>
      </c>
    </row>
    <row r="28">
      <c r="A28" s="8" t="n">
        <v>0</v>
      </c>
      <c r="B28" s="8" t="n">
        <v>3012</v>
      </c>
      <c r="C28" s="8" t="n">
        <v>1</v>
      </c>
      <c r="D28" s="8" t="n"/>
      <c r="E28" s="8">
        <f>_xlfn.XLOOKUP(B28,CardData!A:A,CardData!B:B,"")</f>
        <v/>
      </c>
      <c r="F28" s="8">
        <f>_xlfn.XLOOKUP(B28,CardData!$A:$A,CardData!E:E,"None")</f>
        <v/>
      </c>
    </row>
    <row r="29">
      <c r="A29" s="8" t="n">
        <v>0</v>
      </c>
      <c r="B29" s="8" t="n">
        <v>1019</v>
      </c>
      <c r="C29" s="8" t="n">
        <v>1</v>
      </c>
      <c r="D29" s="8" t="n"/>
      <c r="E29" s="8">
        <f>_xlfn.XLOOKUP(B29,CardData!A:A,CardData!B:B,"")</f>
        <v/>
      </c>
      <c r="F29" s="8">
        <f>_xlfn.XLOOKUP(B29,CardData!$A:$A,CardData!E:E,"None")</f>
        <v/>
      </c>
    </row>
    <row r="30">
      <c r="A30" s="8" t="n">
        <v>0</v>
      </c>
      <c r="B30" s="8" t="n">
        <v>3013</v>
      </c>
      <c r="C30" s="8" t="n">
        <v>1</v>
      </c>
      <c r="D30" s="8" t="n"/>
      <c r="E30" s="8">
        <f>_xlfn.XLOOKUP(B30,CardData!A:A,CardData!B:B,"")</f>
        <v/>
      </c>
      <c r="F30" s="8">
        <f>_xlfn.XLOOKUP(B30,CardData!$A:$A,CardData!E:E,"None")</f>
        <v/>
      </c>
    </row>
    <row r="31">
      <c r="A31" s="8" t="n">
        <v>0</v>
      </c>
      <c r="B31" s="8" t="n">
        <v>1001</v>
      </c>
      <c r="C31" s="8" t="n">
        <v>1</v>
      </c>
      <c r="D31" s="8" t="n"/>
      <c r="E31" s="8">
        <f>_xlfn.XLOOKUP(B31,CardData!A:A,CardData!B:B,"")</f>
        <v/>
      </c>
      <c r="F31" s="8">
        <f>_xlfn.XLOOKUP(B31,CardData!$A:$A,CardData!E:E,"None")</f>
        <v/>
      </c>
    </row>
    <row r="32">
      <c r="A32" s="8" t="n">
        <v>0</v>
      </c>
      <c r="B32" s="8" t="n">
        <v>1005</v>
      </c>
      <c r="C32" s="8" t="n">
        <v>1</v>
      </c>
      <c r="D32" s="8" t="n"/>
      <c r="E32" s="8">
        <f>_xlfn.XLOOKUP(B32,CardData!A:A,CardData!B:B,"")</f>
        <v/>
      </c>
      <c r="F32" s="8">
        <f>_xlfn.XLOOKUP(B32,CardData!$A:$A,CardData!E:E,"None")</f>
        <v/>
      </c>
    </row>
    <row r="33">
      <c r="A33" s="8" t="n">
        <v>0</v>
      </c>
      <c r="B33" s="8" t="n">
        <v>1010</v>
      </c>
      <c r="C33" s="8" t="n">
        <v>1</v>
      </c>
      <c r="D33" s="8" t="n"/>
      <c r="E33" s="8">
        <f>_xlfn.XLOOKUP(B33,CardData!A:A,CardData!B:B,"")</f>
        <v/>
      </c>
      <c r="F33" s="8">
        <f>_xlfn.XLOOKUP(B33,CardData!$A:$A,CardData!E:E,"None")</f>
        <v/>
      </c>
    </row>
    <row r="34">
      <c r="A34" s="8" t="n">
        <v>0</v>
      </c>
      <c r="B34" s="8" t="n">
        <v>2003</v>
      </c>
      <c r="C34" s="8" t="n">
        <v>1</v>
      </c>
      <c r="D34" s="8" t="n"/>
      <c r="E34" s="8">
        <f>_xlfn.XLOOKUP(B34,CardData!A:A,CardData!B:B,"")</f>
        <v/>
      </c>
      <c r="F34" s="8">
        <f>_xlfn.XLOOKUP(B34,CardData!$A:$A,CardData!E:E,"None")</f>
        <v/>
      </c>
    </row>
    <row r="35">
      <c r="A35" s="8" t="n">
        <v>0</v>
      </c>
      <c r="B35" s="8" t="n">
        <v>3001</v>
      </c>
      <c r="C35" s="8" t="n">
        <v>1</v>
      </c>
      <c r="D35" s="8" t="n"/>
      <c r="E35" s="8">
        <f>_xlfn.XLOOKUP(B35,CardData!A:A,CardData!B:B,"")</f>
        <v/>
      </c>
      <c r="F35" s="8">
        <f>_xlfn.XLOOKUP(B35,CardData!$A:$A,CardData!E:E,"None")</f>
        <v/>
      </c>
    </row>
    <row r="36">
      <c r="A36" s="8" t="n">
        <v>0</v>
      </c>
      <c r="B36" s="8" t="n">
        <v>3006</v>
      </c>
      <c r="C36" s="8" t="n">
        <v>1</v>
      </c>
      <c r="D36" s="8" t="n"/>
      <c r="E36" s="8">
        <f>_xlfn.XLOOKUP(B36,CardData!A:A,CardData!B:B,"")</f>
        <v/>
      </c>
      <c r="F36" s="8">
        <f>_xlfn.XLOOKUP(B36,CardData!$A:$A,CardData!E:E,"None")</f>
        <v/>
      </c>
    </row>
    <row r="37">
      <c r="A37" s="8" t="n">
        <v>0</v>
      </c>
      <c r="B37" s="8" t="n">
        <v>1013</v>
      </c>
      <c r="C37" s="8" t="n">
        <v>1</v>
      </c>
      <c r="D37" s="8" t="n"/>
      <c r="E37" s="8">
        <f>_xlfn.XLOOKUP(B37,CardData!A:A,CardData!B:B,"")</f>
        <v/>
      </c>
      <c r="F37" s="8">
        <f>_xlfn.XLOOKUP(B37,CardData!$A:$A,CardData!E:E,"None")</f>
        <v/>
      </c>
    </row>
    <row r="38">
      <c r="A38" s="8" t="n">
        <v>0</v>
      </c>
      <c r="B38" s="8" t="n">
        <v>1016</v>
      </c>
      <c r="C38" s="8" t="n">
        <v>1</v>
      </c>
      <c r="D38" s="8" t="n"/>
      <c r="E38" s="8">
        <f>_xlfn.XLOOKUP(B38,CardData!A:A,CardData!B:B,"")</f>
        <v/>
      </c>
      <c r="F38" s="8">
        <f>_xlfn.XLOOKUP(B38,CardData!$A:$A,CardData!E:E,"None")</f>
        <v/>
      </c>
    </row>
    <row r="39">
      <c r="A39" s="8" t="n">
        <v>0</v>
      </c>
      <c r="B39" s="8" t="n">
        <v>3010</v>
      </c>
      <c r="C39" s="8" t="n">
        <v>1</v>
      </c>
      <c r="D39" s="8" t="n"/>
      <c r="E39" s="8">
        <f>_xlfn.XLOOKUP(B39,CardData!A:A,CardData!B:B,"")</f>
        <v/>
      </c>
      <c r="F39" s="8">
        <f>_xlfn.XLOOKUP(B39,CardData!$A:$A,CardData!E:E,"None")</f>
        <v/>
      </c>
    </row>
    <row r="40">
      <c r="A40" s="8" t="n">
        <v>0</v>
      </c>
      <c r="B40" s="8" t="n">
        <v>3011</v>
      </c>
      <c r="C40" s="8" t="n">
        <v>1</v>
      </c>
      <c r="D40" s="8" t="n"/>
      <c r="E40" s="8">
        <f>_xlfn.XLOOKUP(B40,CardData!A:A,CardData!B:B,"")</f>
        <v/>
      </c>
      <c r="F40" s="8">
        <f>_xlfn.XLOOKUP(B40,CardData!$A:$A,CardData!E:E,"None")</f>
        <v/>
      </c>
    </row>
    <row r="41">
      <c r="A41" s="9" t="n">
        <v>1</v>
      </c>
      <c r="B41" s="9" t="n">
        <v>1003</v>
      </c>
      <c r="C41" s="9" t="n">
        <v>1</v>
      </c>
      <c r="D41" s="9" t="n"/>
      <c r="E41" s="9">
        <f>_xlfn.XLOOKUP(B41,CardData!A:A,CardData!B:B,"")</f>
        <v/>
      </c>
      <c r="F41" s="9">
        <f>_xlfn.XLOOKUP(B41,CardData!$A:$A,CardData!E:E,"None")</f>
        <v/>
      </c>
    </row>
    <row r="42">
      <c r="A42" s="9" t="n">
        <v>1</v>
      </c>
      <c r="B42" s="9" t="n">
        <v>1006</v>
      </c>
      <c r="C42" s="9" t="n">
        <v>1</v>
      </c>
      <c r="D42" s="9" t="n"/>
      <c r="E42" s="9">
        <f>_xlfn.XLOOKUP(B42,CardData!A:A,CardData!B:B,"")</f>
        <v/>
      </c>
      <c r="F42" s="9">
        <f>_xlfn.XLOOKUP(B42,CardData!$A:$A,CardData!E:E,"None")</f>
        <v/>
      </c>
    </row>
    <row r="43">
      <c r="A43" s="9" t="n">
        <v>1</v>
      </c>
      <c r="B43" s="9" t="n">
        <v>1007</v>
      </c>
      <c r="C43" s="9" t="n">
        <v>1</v>
      </c>
      <c r="D43" s="9" t="n"/>
      <c r="E43" s="9">
        <f>_xlfn.XLOOKUP(B43,CardData!A:A,CardData!B:B,"")</f>
        <v/>
      </c>
      <c r="F43" s="9">
        <f>_xlfn.XLOOKUP(B43,CardData!$A:$A,CardData!E:E,"None")</f>
        <v/>
      </c>
    </row>
    <row r="44">
      <c r="A44" s="9" t="n">
        <v>1</v>
      </c>
      <c r="B44" s="9" t="n">
        <v>2002</v>
      </c>
      <c r="C44" s="9" t="n">
        <v>1</v>
      </c>
      <c r="D44" s="9" t="n"/>
      <c r="E44" s="9">
        <f>_xlfn.XLOOKUP(B44,CardData!A:A,CardData!B:B,"")</f>
        <v/>
      </c>
      <c r="F44" s="9">
        <f>_xlfn.XLOOKUP(B44,CardData!$A:$A,CardData!E:E,"None")</f>
        <v/>
      </c>
    </row>
    <row r="45">
      <c r="A45" s="9" t="n">
        <v>1</v>
      </c>
      <c r="B45" s="9" t="n">
        <v>3005</v>
      </c>
      <c r="C45" s="9" t="n">
        <v>1</v>
      </c>
      <c r="D45" s="9" t="n"/>
      <c r="E45" s="9">
        <f>_xlfn.XLOOKUP(B45,CardData!A:A,CardData!B:B,"")</f>
        <v/>
      </c>
      <c r="F45" s="9">
        <f>_xlfn.XLOOKUP(B45,CardData!$A:$A,CardData!E:E,"None")</f>
        <v/>
      </c>
    </row>
    <row r="46">
      <c r="A46" s="9" t="n">
        <v>1</v>
      </c>
      <c r="B46" s="9" t="n">
        <v>1012</v>
      </c>
      <c r="C46" s="9" t="n">
        <v>1</v>
      </c>
      <c r="D46" s="9" t="n"/>
      <c r="E46" s="9">
        <f>_xlfn.XLOOKUP(B46,CardData!A:A,CardData!B:B,"")</f>
        <v/>
      </c>
      <c r="F46" s="9">
        <f>_xlfn.XLOOKUP(B46,CardData!$A:$A,CardData!E:E,"None")</f>
        <v/>
      </c>
    </row>
    <row r="47">
      <c r="A47" s="9" t="n">
        <v>1</v>
      </c>
      <c r="B47" s="9" t="n">
        <v>2010</v>
      </c>
      <c r="C47" s="9" t="n">
        <v>1</v>
      </c>
      <c r="D47" s="9" t="n"/>
      <c r="E47" s="9">
        <f>_xlfn.XLOOKUP(B47,CardData!A:A,CardData!B:B,"")</f>
        <v/>
      </c>
      <c r="F47" s="9">
        <f>_xlfn.XLOOKUP(B47,CardData!$A:$A,CardData!E:E,"None")</f>
        <v/>
      </c>
    </row>
    <row r="48">
      <c r="A48" s="9" t="n">
        <v>1</v>
      </c>
      <c r="B48" s="9" t="n">
        <v>1018</v>
      </c>
      <c r="C48" s="9" t="n">
        <v>1</v>
      </c>
      <c r="D48" s="9" t="n"/>
      <c r="E48" s="9">
        <f>_xlfn.XLOOKUP(B48,CardData!A:A,CardData!B:B,"")</f>
        <v/>
      </c>
      <c r="F48" s="9">
        <f>_xlfn.XLOOKUP(B48,CardData!$A:$A,CardData!E:E,"None")</f>
        <v/>
      </c>
    </row>
    <row r="49">
      <c r="A49" s="9" t="n">
        <v>1</v>
      </c>
      <c r="B49" s="9" t="n">
        <v>2012</v>
      </c>
      <c r="C49" s="9" t="n">
        <v>1</v>
      </c>
      <c r="D49" s="9" t="n"/>
      <c r="E49" s="9">
        <f>_xlfn.XLOOKUP(B49,CardData!A:A,CardData!B:B,"")</f>
        <v/>
      </c>
      <c r="F49" s="9">
        <f>_xlfn.XLOOKUP(B49,CardData!$A:$A,CardData!E:E,"None")</f>
        <v/>
      </c>
    </row>
    <row r="50">
      <c r="A50" s="9" t="n">
        <v>1</v>
      </c>
      <c r="B50" s="9" t="n">
        <v>4003</v>
      </c>
      <c r="C50" s="9" t="n">
        <v>1</v>
      </c>
      <c r="D50" s="9" t="n"/>
      <c r="E50" s="9">
        <f>_xlfn.XLOOKUP(B50,CardData!A:A,CardData!B:B,"")</f>
        <v/>
      </c>
      <c r="F50" s="9">
        <f>_xlfn.XLOOKUP(B50,CardData!$A:$A,CardData!E:E,"None")</f>
        <v/>
      </c>
    </row>
    <row r="51">
      <c r="A51" s="9" t="n">
        <v>1</v>
      </c>
      <c r="B51" s="9" t="n">
        <v>1020</v>
      </c>
      <c r="C51" s="9" t="n">
        <v>1</v>
      </c>
      <c r="D51" s="9" t="n"/>
      <c r="E51" s="9">
        <f>_xlfn.XLOOKUP(B51,CardData!A:A,CardData!B:B,"")</f>
        <v/>
      </c>
      <c r="F51" s="9">
        <f>_xlfn.XLOOKUP(B51,CardData!$A:$A,CardData!E:E,"None")</f>
        <v/>
      </c>
    </row>
    <row r="52">
      <c r="A52" s="9" t="n">
        <v>1</v>
      </c>
      <c r="B52" s="9" t="n">
        <v>2013</v>
      </c>
      <c r="C52" s="9" t="n">
        <v>1</v>
      </c>
      <c r="D52" s="9" t="n"/>
      <c r="E52" s="9">
        <f>_xlfn.XLOOKUP(B52,CardData!A:A,CardData!B:B,"")</f>
        <v/>
      </c>
      <c r="F52" s="9">
        <f>_xlfn.XLOOKUP(B52,CardData!$A:$A,CardData!E:E,"None")</f>
        <v/>
      </c>
    </row>
    <row r="53">
      <c r="A53" s="9" t="n">
        <v>1</v>
      </c>
      <c r="B53" s="9" t="n">
        <v>4004</v>
      </c>
      <c r="C53" s="9" t="n">
        <v>1</v>
      </c>
      <c r="D53" s="9" t="n"/>
      <c r="E53" s="9">
        <f>_xlfn.XLOOKUP(B53,CardData!A:A,CardData!B:B,"")</f>
        <v/>
      </c>
      <c r="F53" s="9">
        <f>_xlfn.XLOOKUP(B53,CardData!$A:$A,CardData!E:E,"None")</f>
        <v/>
      </c>
    </row>
    <row r="54">
      <c r="A54" s="9" t="n">
        <v>1</v>
      </c>
      <c r="B54" s="9" t="n">
        <v>1002</v>
      </c>
      <c r="C54" s="9" t="n">
        <v>1</v>
      </c>
      <c r="D54" s="9" t="n"/>
      <c r="E54" s="9">
        <f>_xlfn.XLOOKUP(B54,CardData!A:A,CardData!B:B,"")</f>
        <v/>
      </c>
      <c r="F54" s="9">
        <f>_xlfn.XLOOKUP(B54,CardData!$A:$A,CardData!E:E,"None")</f>
        <v/>
      </c>
    </row>
    <row r="55">
      <c r="A55" s="9" t="n">
        <v>1</v>
      </c>
      <c r="B55" s="9" t="n">
        <v>1004</v>
      </c>
      <c r="C55" s="9" t="n">
        <v>1</v>
      </c>
      <c r="D55" s="9" t="n"/>
      <c r="E55" s="9">
        <f>_xlfn.XLOOKUP(B55,CardData!A:A,CardData!B:B,"")</f>
        <v/>
      </c>
      <c r="F55" s="9">
        <f>_xlfn.XLOOKUP(B55,CardData!$A:$A,CardData!E:E,"None")</f>
        <v/>
      </c>
    </row>
    <row r="56">
      <c r="A56" s="9" t="n">
        <v>1</v>
      </c>
      <c r="B56" s="9" t="n">
        <v>1008</v>
      </c>
      <c r="C56" s="9" t="n">
        <v>1</v>
      </c>
      <c r="D56" s="9" t="n"/>
      <c r="E56" s="9">
        <f>_xlfn.XLOOKUP(B56,CardData!A:A,CardData!B:B,"")</f>
        <v/>
      </c>
      <c r="F56" s="9">
        <f>_xlfn.XLOOKUP(B56,CardData!$A:$A,CardData!E:E,"None")</f>
        <v/>
      </c>
    </row>
    <row r="57">
      <c r="A57" s="9" t="n">
        <v>1</v>
      </c>
      <c r="B57" s="9" t="n">
        <v>1009</v>
      </c>
      <c r="C57" s="9" t="n">
        <v>1</v>
      </c>
      <c r="D57" s="9" t="n"/>
      <c r="E57" s="9">
        <f>_xlfn.XLOOKUP(B57,CardData!A:A,CardData!B:B,"")</f>
        <v/>
      </c>
      <c r="F57" s="9">
        <f>_xlfn.XLOOKUP(B57,CardData!$A:$A,CardData!E:E,"None")</f>
        <v/>
      </c>
    </row>
    <row r="58">
      <c r="A58" s="9" t="n">
        <v>1</v>
      </c>
      <c r="B58" s="9" t="n">
        <v>2001</v>
      </c>
      <c r="C58" s="9" t="n">
        <v>1</v>
      </c>
      <c r="D58" s="9" t="n"/>
      <c r="E58" s="9">
        <f>_xlfn.XLOOKUP(B58,CardData!A:A,CardData!B:B,"")</f>
        <v/>
      </c>
      <c r="F58" s="9">
        <f>_xlfn.XLOOKUP(B58,CardData!$A:$A,CardData!E:E,"None")</f>
        <v/>
      </c>
    </row>
    <row r="59">
      <c r="A59" s="9" t="n">
        <v>1</v>
      </c>
      <c r="B59" s="9" t="n">
        <v>2004</v>
      </c>
      <c r="C59" s="9" t="n">
        <v>1</v>
      </c>
      <c r="D59" s="9" t="n"/>
      <c r="E59" s="9">
        <f>_xlfn.XLOOKUP(B59,CardData!A:A,CardData!B:B,"")</f>
        <v/>
      </c>
      <c r="F59" s="9">
        <f>_xlfn.XLOOKUP(B59,CardData!$A:$A,CardData!E:E,"None")</f>
        <v/>
      </c>
    </row>
    <row r="60">
      <c r="A60" s="9" t="n">
        <v>1</v>
      </c>
      <c r="B60" s="9" t="n">
        <v>2005</v>
      </c>
      <c r="C60" s="9" t="n">
        <v>1</v>
      </c>
      <c r="D60" s="9" t="n"/>
      <c r="E60" s="9">
        <f>_xlfn.XLOOKUP(B60,CardData!A:A,CardData!B:B,"")</f>
        <v/>
      </c>
      <c r="F60" s="9">
        <f>_xlfn.XLOOKUP(B60,CardData!$A:$A,CardData!E:E,"None")</f>
        <v/>
      </c>
    </row>
    <row r="61">
      <c r="A61" s="9" t="n">
        <v>1</v>
      </c>
      <c r="B61" s="9" t="n">
        <v>3002</v>
      </c>
      <c r="C61" s="9" t="n">
        <v>1</v>
      </c>
      <c r="D61" s="9" t="n"/>
      <c r="E61" s="9">
        <f>_xlfn.XLOOKUP(B61,CardData!A:A,CardData!B:B,"")</f>
        <v/>
      </c>
      <c r="F61" s="9">
        <f>_xlfn.XLOOKUP(B61,CardData!$A:$A,CardData!E:E,"None")</f>
        <v/>
      </c>
    </row>
    <row r="62">
      <c r="A62" s="9" t="n">
        <v>1</v>
      </c>
      <c r="B62" s="9" t="n">
        <v>3003</v>
      </c>
      <c r="C62" s="9" t="n">
        <v>1</v>
      </c>
      <c r="D62" s="9" t="n"/>
      <c r="E62" s="9">
        <f>_xlfn.XLOOKUP(B62,CardData!A:A,CardData!B:B,"")</f>
        <v/>
      </c>
      <c r="F62" s="9">
        <f>_xlfn.XLOOKUP(B62,CardData!$A:$A,CardData!E:E,"None")</f>
        <v/>
      </c>
    </row>
    <row r="63">
      <c r="A63" s="9" t="n">
        <v>1</v>
      </c>
      <c r="B63" s="9" t="n">
        <v>3004</v>
      </c>
      <c r="C63" s="9" t="n">
        <v>1</v>
      </c>
      <c r="D63" s="9" t="n"/>
      <c r="E63" s="9">
        <f>_xlfn.XLOOKUP(B63,CardData!A:A,CardData!B:B,"")</f>
        <v/>
      </c>
      <c r="F63" s="9">
        <f>_xlfn.XLOOKUP(B63,CardData!$A:$A,CardData!E:E,"None")</f>
        <v/>
      </c>
    </row>
    <row r="64">
      <c r="A64" s="9" t="n">
        <v>1</v>
      </c>
      <c r="B64" s="9" t="n">
        <v>1011</v>
      </c>
      <c r="C64" s="9" t="n">
        <v>1</v>
      </c>
      <c r="D64" s="9" t="n"/>
      <c r="E64" s="9">
        <f>_xlfn.XLOOKUP(B64,CardData!A:A,CardData!B:B,"")</f>
        <v/>
      </c>
      <c r="F64" s="9">
        <f>_xlfn.XLOOKUP(B64,CardData!$A:$A,CardData!E:E,"None")</f>
        <v/>
      </c>
    </row>
    <row r="65">
      <c r="A65" s="9" t="n">
        <v>1</v>
      </c>
      <c r="B65" s="9" t="n">
        <v>2006</v>
      </c>
      <c r="C65" s="9" t="n">
        <v>1</v>
      </c>
      <c r="D65" s="9" t="n"/>
      <c r="E65" s="9">
        <f>_xlfn.XLOOKUP(B65,CardData!A:A,CardData!B:B,"")</f>
        <v/>
      </c>
      <c r="F65" s="9">
        <f>_xlfn.XLOOKUP(B65,CardData!$A:$A,CardData!E:E,"None")</f>
        <v/>
      </c>
    </row>
    <row r="66">
      <c r="A66" s="9" t="n">
        <v>1</v>
      </c>
      <c r="B66" s="9" t="n">
        <v>4001</v>
      </c>
      <c r="C66" s="9" t="n">
        <v>1</v>
      </c>
      <c r="D66" s="9" t="n"/>
      <c r="E66" s="9">
        <f>_xlfn.XLOOKUP(B66,CardData!A:A,CardData!B:B,"")</f>
        <v/>
      </c>
      <c r="F66" s="9">
        <f>_xlfn.XLOOKUP(B66,CardData!$A:$A,CardData!E:E,"None")</f>
        <v/>
      </c>
    </row>
    <row r="67">
      <c r="A67" s="9" t="n">
        <v>1</v>
      </c>
      <c r="B67" s="9" t="n">
        <v>1014</v>
      </c>
      <c r="C67" s="9" t="n">
        <v>1</v>
      </c>
      <c r="D67" s="9" t="n"/>
      <c r="E67" s="9">
        <f>_xlfn.XLOOKUP(B67,CardData!A:A,CardData!B:B,"")</f>
        <v/>
      </c>
      <c r="F67" s="9">
        <f>_xlfn.XLOOKUP(B67,CardData!$A:$A,CardData!E:E,"None")</f>
        <v/>
      </c>
    </row>
    <row r="68">
      <c r="A68" s="9" t="n">
        <v>1</v>
      </c>
      <c r="B68" s="9" t="n">
        <v>2007</v>
      </c>
      <c r="C68" s="9" t="n">
        <v>1</v>
      </c>
      <c r="D68" s="9" t="n"/>
      <c r="E68" s="9">
        <f>_xlfn.XLOOKUP(B68,CardData!A:A,CardData!B:B,"")</f>
        <v/>
      </c>
      <c r="F68" s="9">
        <f>_xlfn.XLOOKUP(B68,CardData!$A:$A,CardData!E:E,"None")</f>
        <v/>
      </c>
    </row>
    <row r="69">
      <c r="A69" s="9" t="n">
        <v>1</v>
      </c>
      <c r="B69" s="9" t="n">
        <v>3007</v>
      </c>
      <c r="C69" s="9" t="n">
        <v>1</v>
      </c>
      <c r="D69" s="9" t="n"/>
      <c r="E69" s="9">
        <f>_xlfn.XLOOKUP(B69,CardData!A:A,CardData!B:B,"")</f>
        <v/>
      </c>
      <c r="F69" s="9">
        <f>_xlfn.XLOOKUP(B69,CardData!$A:$A,CardData!E:E,"None")</f>
        <v/>
      </c>
    </row>
    <row r="70">
      <c r="A70" s="9" t="n">
        <v>1</v>
      </c>
      <c r="B70" s="9" t="n">
        <v>3008</v>
      </c>
      <c r="C70" s="9" t="n">
        <v>1</v>
      </c>
      <c r="D70" s="9" t="n"/>
      <c r="E70" s="9">
        <f>_xlfn.XLOOKUP(B70,CardData!A:A,CardData!B:B,"")</f>
        <v/>
      </c>
      <c r="F70" s="9">
        <f>_xlfn.XLOOKUP(B70,CardData!$A:$A,CardData!E:E,"None")</f>
        <v/>
      </c>
    </row>
    <row r="71">
      <c r="A71" s="9" t="n">
        <v>1</v>
      </c>
      <c r="B71" s="9" t="n">
        <v>1015</v>
      </c>
      <c r="C71" s="9" t="n">
        <v>1</v>
      </c>
      <c r="D71" s="9" t="n"/>
      <c r="E71" s="9">
        <f>_xlfn.XLOOKUP(B71,CardData!A:A,CardData!B:B,"")</f>
        <v/>
      </c>
      <c r="F71" s="9">
        <f>_xlfn.XLOOKUP(B71,CardData!$A:$A,CardData!E:E,"None")</f>
        <v/>
      </c>
    </row>
    <row r="72">
      <c r="A72" s="9" t="n">
        <v>1</v>
      </c>
      <c r="B72" s="9" t="n">
        <v>2008</v>
      </c>
      <c r="C72" s="9" t="n">
        <v>1</v>
      </c>
      <c r="D72" s="9" t="n"/>
      <c r="E72" s="9">
        <f>_xlfn.XLOOKUP(B72,CardData!A:A,CardData!B:B,"")</f>
        <v/>
      </c>
      <c r="F72" s="9">
        <f>_xlfn.XLOOKUP(B72,CardData!$A:$A,CardData!E:E,"None")</f>
        <v/>
      </c>
    </row>
    <row r="73">
      <c r="A73" s="9" t="n">
        <v>1</v>
      </c>
      <c r="B73" s="9" t="n">
        <v>2009</v>
      </c>
      <c r="C73" s="9" t="n">
        <v>1</v>
      </c>
      <c r="D73" s="9" t="n"/>
      <c r="E73" s="9">
        <f>_xlfn.XLOOKUP(B73,CardData!A:A,CardData!B:B,"")</f>
        <v/>
      </c>
      <c r="F73" s="9">
        <f>_xlfn.XLOOKUP(B73,CardData!$A:$A,CardData!E:E,"None")</f>
        <v/>
      </c>
    </row>
    <row r="74">
      <c r="A74" s="9" t="n">
        <v>1</v>
      </c>
      <c r="B74" s="9" t="n">
        <v>3009</v>
      </c>
      <c r="C74" s="9" t="n">
        <v>1</v>
      </c>
      <c r="D74" s="9" t="n"/>
      <c r="E74" s="9">
        <f>_xlfn.XLOOKUP(B74,CardData!A:A,CardData!B:B,"")</f>
        <v/>
      </c>
      <c r="F74" s="9">
        <f>_xlfn.XLOOKUP(B74,CardData!$A:$A,CardData!E:E,"None")</f>
        <v/>
      </c>
    </row>
    <row r="75">
      <c r="A75" s="9" t="n">
        <v>1</v>
      </c>
      <c r="B75" s="9" t="n">
        <v>2011</v>
      </c>
      <c r="C75" s="9" t="n">
        <v>1</v>
      </c>
      <c r="D75" s="9" t="n"/>
      <c r="E75" s="9">
        <f>_xlfn.XLOOKUP(B75,CardData!A:A,CardData!B:B,"")</f>
        <v/>
      </c>
      <c r="F75" s="9">
        <f>_xlfn.XLOOKUP(B75,CardData!$A:$A,CardData!E:E,"None")</f>
        <v/>
      </c>
    </row>
    <row r="76">
      <c r="A76" s="9" t="n">
        <v>1</v>
      </c>
      <c r="B76" s="9" t="n">
        <v>4002</v>
      </c>
      <c r="C76" s="9" t="n">
        <v>1</v>
      </c>
      <c r="D76" s="9" t="n"/>
      <c r="E76" s="9">
        <f>_xlfn.XLOOKUP(B76,CardData!A:A,CardData!B:B,"")</f>
        <v/>
      </c>
      <c r="F76" s="9">
        <f>_xlfn.XLOOKUP(B76,CardData!$A:$A,CardData!E:E,"None")</f>
        <v/>
      </c>
    </row>
    <row r="77">
      <c r="A77" s="9" t="n">
        <v>1</v>
      </c>
      <c r="B77" s="9" t="n">
        <v>1017</v>
      </c>
      <c r="C77" s="9" t="n">
        <v>1</v>
      </c>
      <c r="D77" s="9" t="n"/>
      <c r="E77" s="9">
        <f>_xlfn.XLOOKUP(B77,CardData!A:A,CardData!B:B,"")</f>
        <v/>
      </c>
      <c r="F77" s="9">
        <f>_xlfn.XLOOKUP(B77,CardData!$A:$A,CardData!E:E,"None")</f>
        <v/>
      </c>
    </row>
    <row r="78">
      <c r="A78" s="9" t="n">
        <v>1</v>
      </c>
      <c r="B78" s="9" t="n">
        <v>3012</v>
      </c>
      <c r="C78" s="9" t="n">
        <v>1</v>
      </c>
      <c r="D78" s="9" t="n"/>
      <c r="E78" s="9">
        <f>_xlfn.XLOOKUP(B78,CardData!A:A,CardData!B:B,"")</f>
        <v/>
      </c>
      <c r="F78" s="9">
        <f>_xlfn.XLOOKUP(B78,CardData!$A:$A,CardData!E:E,"None")</f>
        <v/>
      </c>
    </row>
    <row r="79">
      <c r="A79" s="9" t="n">
        <v>1</v>
      </c>
      <c r="B79" s="9" t="n">
        <v>1019</v>
      </c>
      <c r="C79" s="9" t="n">
        <v>1</v>
      </c>
      <c r="D79" s="9" t="n"/>
      <c r="E79" s="9">
        <f>_xlfn.XLOOKUP(B79,CardData!A:A,CardData!B:B,"")</f>
        <v/>
      </c>
      <c r="F79" s="9">
        <f>_xlfn.XLOOKUP(B79,CardData!$A:$A,CardData!E:E,"None")</f>
        <v/>
      </c>
    </row>
    <row r="80">
      <c r="A80" s="9" t="n">
        <v>1</v>
      </c>
      <c r="B80" s="9" t="n">
        <v>3013</v>
      </c>
      <c r="C80" s="9" t="n">
        <v>1</v>
      </c>
      <c r="D80" s="9" t="n"/>
      <c r="E80" s="9">
        <f>_xlfn.XLOOKUP(B80,CardData!A:A,CardData!B:B,"")</f>
        <v/>
      </c>
      <c r="F80" s="9">
        <f>_xlfn.XLOOKUP(B80,CardData!$A:$A,CardData!E:E,"None")</f>
        <v/>
      </c>
    </row>
    <row r="81">
      <c r="A81" s="9" t="n">
        <v>1</v>
      </c>
      <c r="B81" s="9" t="n">
        <v>1001</v>
      </c>
      <c r="C81" s="9" t="n">
        <v>1</v>
      </c>
      <c r="D81" s="9" t="n"/>
      <c r="E81" s="9">
        <f>_xlfn.XLOOKUP(B81,CardData!A:A,CardData!B:B,"")</f>
        <v/>
      </c>
      <c r="F81" s="9">
        <f>_xlfn.XLOOKUP(B81,CardData!$A:$A,CardData!E:E,"None")</f>
        <v/>
      </c>
    </row>
    <row r="82">
      <c r="A82" s="9" t="n">
        <v>1</v>
      </c>
      <c r="B82" s="9" t="n">
        <v>1005</v>
      </c>
      <c r="C82" s="9" t="n">
        <v>1</v>
      </c>
      <c r="D82" s="9" t="n"/>
      <c r="E82" s="9">
        <f>_xlfn.XLOOKUP(B82,CardData!A:A,CardData!B:B,"")</f>
        <v/>
      </c>
      <c r="F82" s="9">
        <f>_xlfn.XLOOKUP(B82,CardData!$A:$A,CardData!E:E,"None")</f>
        <v/>
      </c>
    </row>
    <row r="83">
      <c r="A83" s="9" t="n">
        <v>1</v>
      </c>
      <c r="B83" s="9" t="n">
        <v>1010</v>
      </c>
      <c r="C83" s="9" t="n">
        <v>1</v>
      </c>
      <c r="D83" s="9" t="n"/>
      <c r="E83" s="9">
        <f>_xlfn.XLOOKUP(B83,CardData!A:A,CardData!B:B,"")</f>
        <v/>
      </c>
      <c r="F83" s="9">
        <f>_xlfn.XLOOKUP(B83,CardData!$A:$A,CardData!E:E,"None")</f>
        <v/>
      </c>
    </row>
    <row r="84">
      <c r="A84" s="9" t="n">
        <v>1</v>
      </c>
      <c r="B84" s="9" t="n">
        <v>2003</v>
      </c>
      <c r="C84" s="9" t="n">
        <v>1</v>
      </c>
      <c r="D84" s="9" t="n"/>
      <c r="E84" s="9">
        <f>_xlfn.XLOOKUP(B84,CardData!A:A,CardData!B:B,"")</f>
        <v/>
      </c>
      <c r="F84" s="9">
        <f>_xlfn.XLOOKUP(B84,CardData!$A:$A,CardData!E:E,"None")</f>
        <v/>
      </c>
    </row>
    <row r="85">
      <c r="A85" s="9" t="n">
        <v>1</v>
      </c>
      <c r="B85" s="9" t="n">
        <v>3001</v>
      </c>
      <c r="C85" s="9" t="n">
        <v>1</v>
      </c>
      <c r="D85" s="9" t="n"/>
      <c r="E85" s="9">
        <f>_xlfn.XLOOKUP(B85,CardData!A:A,CardData!B:B,"")</f>
        <v/>
      </c>
      <c r="F85" s="9">
        <f>_xlfn.XLOOKUP(B85,CardData!$A:$A,CardData!E:E,"None")</f>
        <v/>
      </c>
    </row>
    <row r="86">
      <c r="A86" s="9" t="n">
        <v>1</v>
      </c>
      <c r="B86" s="9" t="n">
        <v>3006</v>
      </c>
      <c r="C86" s="9" t="n">
        <v>1</v>
      </c>
      <c r="D86" s="9" t="n"/>
      <c r="E86" s="9">
        <f>_xlfn.XLOOKUP(B86,CardData!A:A,CardData!B:B,"")</f>
        <v/>
      </c>
      <c r="F86" s="9">
        <f>_xlfn.XLOOKUP(B86,CardData!$A:$A,CardData!E:E,"None")</f>
        <v/>
      </c>
    </row>
    <row r="87">
      <c r="A87" s="9" t="n">
        <v>1</v>
      </c>
      <c r="B87" s="9" t="n">
        <v>1013</v>
      </c>
      <c r="C87" s="9" t="n">
        <v>1</v>
      </c>
      <c r="D87" s="9" t="n"/>
      <c r="E87" s="9">
        <f>_xlfn.XLOOKUP(B87,CardData!A:A,CardData!B:B,"")</f>
        <v/>
      </c>
      <c r="F87" s="9">
        <f>_xlfn.XLOOKUP(B87,CardData!$A:$A,CardData!E:E,"None")</f>
        <v/>
      </c>
    </row>
    <row r="88">
      <c r="A88" s="9" t="n">
        <v>1</v>
      </c>
      <c r="B88" s="9" t="n">
        <v>1016</v>
      </c>
      <c r="C88" s="9" t="n">
        <v>1</v>
      </c>
      <c r="D88" s="9" t="n"/>
      <c r="E88" s="9">
        <f>_xlfn.XLOOKUP(B88,CardData!A:A,CardData!B:B,"")</f>
        <v/>
      </c>
      <c r="F88" s="9">
        <f>_xlfn.XLOOKUP(B88,CardData!$A:$A,CardData!E:E,"None")</f>
        <v/>
      </c>
    </row>
    <row r="89">
      <c r="A89" s="9" t="n">
        <v>1</v>
      </c>
      <c r="B89" s="9" t="n">
        <v>3010</v>
      </c>
      <c r="C89" s="9" t="n">
        <v>1</v>
      </c>
      <c r="D89" s="9" t="n"/>
      <c r="E89" s="9">
        <f>_xlfn.XLOOKUP(B89,CardData!A:A,CardData!B:B,"")</f>
        <v/>
      </c>
      <c r="F89" s="9">
        <f>_xlfn.XLOOKUP(B89,CardData!$A:$A,CardData!E:E,"None")</f>
        <v/>
      </c>
    </row>
    <row r="90">
      <c r="A90" s="9" t="n">
        <v>1</v>
      </c>
      <c r="B90" s="9" t="n">
        <v>3011</v>
      </c>
      <c r="C90" s="9" t="n">
        <v>1</v>
      </c>
      <c r="D90" s="9" t="n"/>
      <c r="E90" s="9">
        <f>_xlfn.XLOOKUP(B90,CardData!A:A,CardData!B:B,"")</f>
        <v/>
      </c>
      <c r="F90" s="9">
        <f>_xlfn.XLOOKUP(B90,CardData!$A:$A,CardData!E:E,"None")</f>
        <v/>
      </c>
    </row>
    <row r="91">
      <c r="A91" s="10" t="n">
        <v>2</v>
      </c>
      <c r="B91" s="10" t="n">
        <v>1003</v>
      </c>
      <c r="C91" s="10" t="n">
        <v>1</v>
      </c>
      <c r="D91" s="10" t="n"/>
      <c r="E91" s="10">
        <f>_xlfn.XLOOKUP(B91,CardData!A:A,CardData!B:B,"")</f>
        <v/>
      </c>
      <c r="F91" s="10">
        <f>_xlfn.XLOOKUP(B91,CardData!$A:$A,CardData!E:E,"None")</f>
        <v/>
      </c>
    </row>
    <row r="92">
      <c r="A92" s="10" t="n">
        <v>2</v>
      </c>
      <c r="B92" s="10" t="n">
        <v>1006</v>
      </c>
      <c r="C92" s="10" t="n">
        <v>1</v>
      </c>
      <c r="D92" s="10" t="n"/>
      <c r="E92" s="10">
        <f>_xlfn.XLOOKUP(B92,CardData!A:A,CardData!B:B,"")</f>
        <v/>
      </c>
      <c r="F92" s="10">
        <f>_xlfn.XLOOKUP(B92,CardData!$A:$A,CardData!E:E,"None")</f>
        <v/>
      </c>
    </row>
    <row r="93">
      <c r="A93" s="10" t="n">
        <v>2</v>
      </c>
      <c r="B93" s="10" t="n">
        <v>1007</v>
      </c>
      <c r="C93" s="10" t="n">
        <v>1</v>
      </c>
      <c r="D93" s="10" t="n"/>
      <c r="E93" s="10">
        <f>_xlfn.XLOOKUP(B93,CardData!A:A,CardData!B:B,"")</f>
        <v/>
      </c>
      <c r="F93" s="10">
        <f>_xlfn.XLOOKUP(B93,CardData!$A:$A,CardData!E:E,"None")</f>
        <v/>
      </c>
    </row>
    <row r="94">
      <c r="A94" s="10" t="n">
        <v>2</v>
      </c>
      <c r="B94" s="10" t="n">
        <v>2002</v>
      </c>
      <c r="C94" s="10" t="n">
        <v>1</v>
      </c>
      <c r="D94" s="10" t="n"/>
      <c r="E94" s="10">
        <f>_xlfn.XLOOKUP(B94,CardData!A:A,CardData!B:B,"")</f>
        <v/>
      </c>
      <c r="F94" s="10">
        <f>_xlfn.XLOOKUP(B94,CardData!$A:$A,CardData!E:E,"None")</f>
        <v/>
      </c>
    </row>
    <row r="95">
      <c r="A95" s="10" t="n">
        <v>2</v>
      </c>
      <c r="B95" s="10" t="n">
        <v>3005</v>
      </c>
      <c r="C95" s="10" t="n">
        <v>1</v>
      </c>
      <c r="D95" s="10" t="n"/>
      <c r="E95" s="10">
        <f>_xlfn.XLOOKUP(B95,CardData!A:A,CardData!B:B,"")</f>
        <v/>
      </c>
      <c r="F95" s="10">
        <f>_xlfn.XLOOKUP(B95,CardData!$A:$A,CardData!E:E,"None")</f>
        <v/>
      </c>
    </row>
    <row r="96">
      <c r="A96" s="10" t="n">
        <v>2</v>
      </c>
      <c r="B96" s="10" t="n">
        <v>1012</v>
      </c>
      <c r="C96" s="10" t="n">
        <v>1</v>
      </c>
      <c r="D96" s="10" t="n"/>
      <c r="E96" s="10">
        <f>_xlfn.XLOOKUP(B96,CardData!A:A,CardData!B:B,"")</f>
        <v/>
      </c>
      <c r="F96" s="10">
        <f>_xlfn.XLOOKUP(B96,CardData!$A:$A,CardData!E:E,"None")</f>
        <v/>
      </c>
    </row>
    <row r="97">
      <c r="A97" s="10" t="n">
        <v>2</v>
      </c>
      <c r="B97" s="10" t="n">
        <v>2010</v>
      </c>
      <c r="C97" s="10" t="n">
        <v>1</v>
      </c>
      <c r="D97" s="10" t="n"/>
      <c r="E97" s="10">
        <f>_xlfn.XLOOKUP(B97,CardData!A:A,CardData!B:B,"")</f>
        <v/>
      </c>
      <c r="F97" s="10">
        <f>_xlfn.XLOOKUP(B97,CardData!$A:$A,CardData!E:E,"None")</f>
        <v/>
      </c>
    </row>
    <row r="98">
      <c r="A98" s="10" t="n">
        <v>2</v>
      </c>
      <c r="B98" s="10" t="n">
        <v>1018</v>
      </c>
      <c r="C98" s="10" t="n">
        <v>1</v>
      </c>
      <c r="D98" s="10" t="n"/>
      <c r="E98" s="10">
        <f>_xlfn.XLOOKUP(B98,CardData!A:A,CardData!B:B,"")</f>
        <v/>
      </c>
      <c r="F98" s="10">
        <f>_xlfn.XLOOKUP(B98,CardData!$A:$A,CardData!E:E,"None")</f>
        <v/>
      </c>
    </row>
    <row r="99">
      <c r="A99" s="10" t="n">
        <v>2</v>
      </c>
      <c r="B99" s="10" t="n">
        <v>2012</v>
      </c>
      <c r="C99" s="10" t="n">
        <v>1</v>
      </c>
      <c r="D99" s="10" t="n"/>
      <c r="E99" s="10">
        <f>_xlfn.XLOOKUP(B99,CardData!A:A,CardData!B:B,"")</f>
        <v/>
      </c>
      <c r="F99" s="10">
        <f>_xlfn.XLOOKUP(B99,CardData!$A:$A,CardData!E:E,"None")</f>
        <v/>
      </c>
    </row>
    <row r="100">
      <c r="A100" s="10" t="n">
        <v>2</v>
      </c>
      <c r="B100" s="10" t="n">
        <v>4003</v>
      </c>
      <c r="C100" s="10" t="n">
        <v>1</v>
      </c>
      <c r="D100" s="10" t="n"/>
      <c r="E100" s="10">
        <f>_xlfn.XLOOKUP(B100,CardData!A:A,CardData!B:B,"")</f>
        <v/>
      </c>
      <c r="F100" s="10">
        <f>_xlfn.XLOOKUP(B100,CardData!$A:$A,CardData!E:E,"None")</f>
        <v/>
      </c>
    </row>
    <row r="101">
      <c r="A101" s="10" t="n">
        <v>2</v>
      </c>
      <c r="B101" s="10" t="n">
        <v>1020</v>
      </c>
      <c r="C101" s="10" t="n">
        <v>1</v>
      </c>
      <c r="D101" s="10" t="n"/>
      <c r="E101" s="10">
        <f>_xlfn.XLOOKUP(B101,CardData!A:A,CardData!B:B,"")</f>
        <v/>
      </c>
      <c r="F101" s="10">
        <f>_xlfn.XLOOKUP(B101,CardData!$A:$A,CardData!E:E,"None")</f>
        <v/>
      </c>
    </row>
    <row r="102">
      <c r="A102" s="10" t="n">
        <v>2</v>
      </c>
      <c r="B102" s="10" t="n">
        <v>2013</v>
      </c>
      <c r="C102" s="10" t="n">
        <v>1</v>
      </c>
      <c r="D102" s="10" t="n"/>
      <c r="E102" s="10">
        <f>_xlfn.XLOOKUP(B102,CardData!A:A,CardData!B:B,"")</f>
        <v/>
      </c>
      <c r="F102" s="10">
        <f>_xlfn.XLOOKUP(B102,CardData!$A:$A,CardData!E:E,"None")</f>
        <v/>
      </c>
    </row>
    <row r="103">
      <c r="A103" s="10" t="n">
        <v>2</v>
      </c>
      <c r="B103" s="10" t="n">
        <v>4004</v>
      </c>
      <c r="C103" s="10" t="n">
        <v>1</v>
      </c>
      <c r="D103" s="10" t="n"/>
      <c r="E103" s="10">
        <f>_xlfn.XLOOKUP(B103,CardData!A:A,CardData!B:B,"")</f>
        <v/>
      </c>
      <c r="F103" s="10">
        <f>_xlfn.XLOOKUP(B103,CardData!$A:$A,CardData!E:E,"None")</f>
        <v/>
      </c>
    </row>
    <row r="104">
      <c r="A104" s="10" t="n">
        <v>2</v>
      </c>
      <c r="B104" s="10" t="n">
        <v>1002</v>
      </c>
      <c r="C104" s="10" t="n">
        <v>1</v>
      </c>
      <c r="D104" s="10" t="n"/>
      <c r="E104" s="10">
        <f>_xlfn.XLOOKUP(B104,CardData!A:A,CardData!B:B,"")</f>
        <v/>
      </c>
      <c r="F104" s="10">
        <f>_xlfn.XLOOKUP(B104,CardData!$A:$A,CardData!E:E,"None")</f>
        <v/>
      </c>
    </row>
    <row r="105">
      <c r="A105" s="10" t="n">
        <v>2</v>
      </c>
      <c r="B105" s="10" t="n">
        <v>1004</v>
      </c>
      <c r="C105" s="10" t="n">
        <v>1</v>
      </c>
      <c r="D105" s="10" t="n"/>
      <c r="E105" s="10">
        <f>_xlfn.XLOOKUP(B105,CardData!A:A,CardData!B:B,"")</f>
        <v/>
      </c>
      <c r="F105" s="10">
        <f>_xlfn.XLOOKUP(B105,CardData!$A:$A,CardData!E:E,"None")</f>
        <v/>
      </c>
    </row>
    <row r="106">
      <c r="A106" s="10" t="n">
        <v>2</v>
      </c>
      <c r="B106" s="10" t="n">
        <v>1008</v>
      </c>
      <c r="C106" s="10" t="n">
        <v>1</v>
      </c>
      <c r="D106" s="10" t="n"/>
      <c r="E106" s="10">
        <f>_xlfn.XLOOKUP(B106,CardData!A:A,CardData!B:B,"")</f>
        <v/>
      </c>
      <c r="F106" s="10">
        <f>_xlfn.XLOOKUP(B106,CardData!$A:$A,CardData!E:E,"None")</f>
        <v/>
      </c>
    </row>
    <row r="107">
      <c r="A107" s="10" t="n">
        <v>2</v>
      </c>
      <c r="B107" s="10" t="n">
        <v>1009</v>
      </c>
      <c r="C107" s="10" t="n">
        <v>1</v>
      </c>
      <c r="D107" s="10" t="n"/>
      <c r="E107" s="10">
        <f>_xlfn.XLOOKUP(B107,CardData!A:A,CardData!B:B,"")</f>
        <v/>
      </c>
      <c r="F107" s="10">
        <f>_xlfn.XLOOKUP(B107,CardData!$A:$A,CardData!E:E,"None")</f>
        <v/>
      </c>
    </row>
    <row r="108">
      <c r="A108" s="10" t="n">
        <v>2</v>
      </c>
      <c r="B108" s="10" t="n">
        <v>2001</v>
      </c>
      <c r="C108" s="10" t="n">
        <v>1</v>
      </c>
      <c r="D108" s="10" t="n"/>
      <c r="E108" s="10">
        <f>_xlfn.XLOOKUP(B108,CardData!A:A,CardData!B:B,"")</f>
        <v/>
      </c>
      <c r="F108" s="10">
        <f>_xlfn.XLOOKUP(B108,CardData!$A:$A,CardData!E:E,"None")</f>
        <v/>
      </c>
    </row>
    <row r="109">
      <c r="A109" s="10" t="n">
        <v>2</v>
      </c>
      <c r="B109" s="10" t="n">
        <v>2004</v>
      </c>
      <c r="C109" s="10" t="n">
        <v>1</v>
      </c>
      <c r="D109" s="10" t="n"/>
      <c r="E109" s="10">
        <f>_xlfn.XLOOKUP(B109,CardData!A:A,CardData!B:B,"")</f>
        <v/>
      </c>
      <c r="F109" s="10">
        <f>_xlfn.XLOOKUP(B109,CardData!$A:$A,CardData!E:E,"None")</f>
        <v/>
      </c>
    </row>
    <row r="110">
      <c r="A110" s="10" t="n">
        <v>2</v>
      </c>
      <c r="B110" s="10" t="n">
        <v>2005</v>
      </c>
      <c r="C110" s="10" t="n">
        <v>1</v>
      </c>
      <c r="D110" s="10" t="n"/>
      <c r="E110" s="10">
        <f>_xlfn.XLOOKUP(B110,CardData!A:A,CardData!B:B,"")</f>
        <v/>
      </c>
      <c r="F110" s="10">
        <f>_xlfn.XLOOKUP(B110,CardData!$A:$A,CardData!E:E,"None")</f>
        <v/>
      </c>
    </row>
    <row r="111">
      <c r="A111" s="10" t="n">
        <v>2</v>
      </c>
      <c r="B111" s="10" t="n">
        <v>3002</v>
      </c>
      <c r="C111" s="10" t="n">
        <v>1</v>
      </c>
      <c r="D111" s="10" t="n"/>
      <c r="E111" s="10">
        <f>_xlfn.XLOOKUP(B111,CardData!A:A,CardData!B:B,"")</f>
        <v/>
      </c>
      <c r="F111" s="10">
        <f>_xlfn.XLOOKUP(B111,CardData!$A:$A,CardData!E:E,"None")</f>
        <v/>
      </c>
    </row>
    <row r="112">
      <c r="A112" s="10" t="n">
        <v>2</v>
      </c>
      <c r="B112" s="10" t="n">
        <v>3003</v>
      </c>
      <c r="C112" s="10" t="n">
        <v>1</v>
      </c>
      <c r="D112" s="10" t="n"/>
      <c r="E112" s="10">
        <f>_xlfn.XLOOKUP(B112,CardData!A:A,CardData!B:B,"")</f>
        <v/>
      </c>
      <c r="F112" s="10">
        <f>_xlfn.XLOOKUP(B112,CardData!$A:$A,CardData!E:E,"None")</f>
        <v/>
      </c>
    </row>
    <row r="113">
      <c r="A113" s="10" t="n">
        <v>2</v>
      </c>
      <c r="B113" s="10" t="n">
        <v>3004</v>
      </c>
      <c r="C113" s="10" t="n">
        <v>1</v>
      </c>
      <c r="D113" s="10" t="n"/>
      <c r="E113" s="10">
        <f>_xlfn.XLOOKUP(B113,CardData!A:A,CardData!B:B,"")</f>
        <v/>
      </c>
      <c r="F113" s="10">
        <f>_xlfn.XLOOKUP(B113,CardData!$A:$A,CardData!E:E,"None")</f>
        <v/>
      </c>
    </row>
    <row r="114">
      <c r="A114" s="10" t="n">
        <v>2</v>
      </c>
      <c r="B114" s="10" t="n">
        <v>1011</v>
      </c>
      <c r="C114" s="10" t="n">
        <v>1</v>
      </c>
      <c r="D114" s="10" t="n"/>
      <c r="E114" s="10">
        <f>_xlfn.XLOOKUP(B114,CardData!A:A,CardData!B:B,"")</f>
        <v/>
      </c>
      <c r="F114" s="10">
        <f>_xlfn.XLOOKUP(B114,CardData!$A:$A,CardData!E:E,"None")</f>
        <v/>
      </c>
    </row>
    <row r="115">
      <c r="A115" s="10" t="n">
        <v>2</v>
      </c>
      <c r="B115" s="10" t="n">
        <v>2006</v>
      </c>
      <c r="C115" s="10" t="n">
        <v>1</v>
      </c>
      <c r="D115" s="10" t="n"/>
      <c r="E115" s="10">
        <f>_xlfn.XLOOKUP(B115,CardData!A:A,CardData!B:B,"")</f>
        <v/>
      </c>
      <c r="F115" s="10">
        <f>_xlfn.XLOOKUP(B115,CardData!$A:$A,CardData!E:E,"None")</f>
        <v/>
      </c>
    </row>
    <row r="116">
      <c r="A116" s="10" t="n">
        <v>2</v>
      </c>
      <c r="B116" s="10" t="n">
        <v>4001</v>
      </c>
      <c r="C116" s="10" t="n">
        <v>1</v>
      </c>
      <c r="D116" s="10" t="n"/>
      <c r="E116" s="10">
        <f>_xlfn.XLOOKUP(B116,CardData!A:A,CardData!B:B,"")</f>
        <v/>
      </c>
      <c r="F116" s="10">
        <f>_xlfn.XLOOKUP(B116,CardData!$A:$A,CardData!E:E,"None")</f>
        <v/>
      </c>
    </row>
    <row r="117">
      <c r="A117" s="10" t="n">
        <v>2</v>
      </c>
      <c r="B117" s="10" t="n">
        <v>1014</v>
      </c>
      <c r="C117" s="10" t="n">
        <v>1</v>
      </c>
      <c r="D117" s="10" t="n"/>
      <c r="E117" s="10">
        <f>_xlfn.XLOOKUP(B117,CardData!A:A,CardData!B:B,"")</f>
        <v/>
      </c>
      <c r="F117" s="10">
        <f>_xlfn.XLOOKUP(B117,CardData!$A:$A,CardData!E:E,"None")</f>
        <v/>
      </c>
    </row>
    <row r="118">
      <c r="A118" s="10" t="n">
        <v>2</v>
      </c>
      <c r="B118" s="10" t="n">
        <v>2007</v>
      </c>
      <c r="C118" s="10" t="n">
        <v>1</v>
      </c>
      <c r="D118" s="10" t="n"/>
      <c r="E118" s="10">
        <f>_xlfn.XLOOKUP(B118,CardData!A:A,CardData!B:B,"")</f>
        <v/>
      </c>
      <c r="F118" s="10">
        <f>_xlfn.XLOOKUP(B118,CardData!$A:$A,CardData!E:E,"None")</f>
        <v/>
      </c>
    </row>
    <row r="119">
      <c r="A119" s="10" t="n">
        <v>2</v>
      </c>
      <c r="B119" s="10" t="n">
        <v>3007</v>
      </c>
      <c r="C119" s="10" t="n">
        <v>1</v>
      </c>
      <c r="D119" s="10" t="n"/>
      <c r="E119" s="10">
        <f>_xlfn.XLOOKUP(B119,CardData!A:A,CardData!B:B,"")</f>
        <v/>
      </c>
      <c r="F119" s="10">
        <f>_xlfn.XLOOKUP(B119,CardData!$A:$A,CardData!E:E,"None")</f>
        <v/>
      </c>
    </row>
    <row r="120">
      <c r="A120" s="10" t="n">
        <v>2</v>
      </c>
      <c r="B120" s="10" t="n">
        <v>3008</v>
      </c>
      <c r="C120" s="10" t="n">
        <v>1</v>
      </c>
      <c r="D120" s="10" t="n"/>
      <c r="E120" s="10">
        <f>_xlfn.XLOOKUP(B120,CardData!A:A,CardData!B:B,"")</f>
        <v/>
      </c>
      <c r="F120" s="10">
        <f>_xlfn.XLOOKUP(B120,CardData!$A:$A,CardData!E:E,"None")</f>
        <v/>
      </c>
    </row>
    <row r="121">
      <c r="A121" s="10" t="n">
        <v>2</v>
      </c>
      <c r="B121" s="10" t="n">
        <v>1015</v>
      </c>
      <c r="C121" s="10" t="n">
        <v>1</v>
      </c>
      <c r="D121" s="10" t="n"/>
      <c r="E121" s="10">
        <f>_xlfn.XLOOKUP(B121,CardData!A:A,CardData!B:B,"")</f>
        <v/>
      </c>
      <c r="F121" s="10">
        <f>_xlfn.XLOOKUP(B121,CardData!$A:$A,CardData!E:E,"None")</f>
        <v/>
      </c>
    </row>
    <row r="122">
      <c r="A122" s="10" t="n">
        <v>2</v>
      </c>
      <c r="B122" s="10" t="n">
        <v>2008</v>
      </c>
      <c r="C122" s="10" t="n">
        <v>1</v>
      </c>
      <c r="D122" s="10" t="n"/>
      <c r="E122" s="10">
        <f>_xlfn.XLOOKUP(B122,CardData!A:A,CardData!B:B,"")</f>
        <v/>
      </c>
      <c r="F122" s="10">
        <f>_xlfn.XLOOKUP(B122,CardData!$A:$A,CardData!E:E,"None")</f>
        <v/>
      </c>
    </row>
    <row r="123">
      <c r="A123" s="10" t="n">
        <v>2</v>
      </c>
      <c r="B123" s="10" t="n">
        <v>2009</v>
      </c>
      <c r="C123" s="10" t="n">
        <v>1</v>
      </c>
      <c r="D123" s="10" t="n"/>
      <c r="E123" s="10">
        <f>_xlfn.XLOOKUP(B123,CardData!A:A,CardData!B:B,"")</f>
        <v/>
      </c>
      <c r="F123" s="10">
        <f>_xlfn.XLOOKUP(B123,CardData!$A:$A,CardData!E:E,"None")</f>
        <v/>
      </c>
    </row>
    <row r="124">
      <c r="A124" s="10" t="n">
        <v>2</v>
      </c>
      <c r="B124" s="10" t="n">
        <v>3009</v>
      </c>
      <c r="C124" s="10" t="n">
        <v>1</v>
      </c>
      <c r="D124" s="10" t="n"/>
      <c r="E124" s="10">
        <f>_xlfn.XLOOKUP(B124,CardData!A:A,CardData!B:B,"")</f>
        <v/>
      </c>
      <c r="F124" s="10">
        <f>_xlfn.XLOOKUP(B124,CardData!$A:$A,CardData!E:E,"None")</f>
        <v/>
      </c>
    </row>
    <row r="125">
      <c r="A125" s="10" t="n">
        <v>2</v>
      </c>
      <c r="B125" s="10" t="n">
        <v>2011</v>
      </c>
      <c r="C125" s="10" t="n">
        <v>1</v>
      </c>
      <c r="D125" s="10" t="n"/>
      <c r="E125" s="10">
        <f>_xlfn.XLOOKUP(B125,CardData!A:A,CardData!B:B,"")</f>
        <v/>
      </c>
      <c r="F125" s="10">
        <f>_xlfn.XLOOKUP(B125,CardData!$A:$A,CardData!E:E,"None")</f>
        <v/>
      </c>
    </row>
    <row r="126">
      <c r="A126" s="10" t="n">
        <v>2</v>
      </c>
      <c r="B126" s="10" t="n">
        <v>4002</v>
      </c>
      <c r="C126" s="10" t="n">
        <v>1</v>
      </c>
      <c r="D126" s="10" t="n"/>
      <c r="E126" s="10">
        <f>_xlfn.XLOOKUP(B126,CardData!A:A,CardData!B:B,"")</f>
        <v/>
      </c>
      <c r="F126" s="10">
        <f>_xlfn.XLOOKUP(B126,CardData!$A:$A,CardData!E:E,"None")</f>
        <v/>
      </c>
    </row>
    <row r="127">
      <c r="A127" s="10" t="n">
        <v>2</v>
      </c>
      <c r="B127" s="10" t="n">
        <v>1017</v>
      </c>
      <c r="C127" s="10" t="n">
        <v>1</v>
      </c>
      <c r="D127" s="10" t="n"/>
      <c r="E127" s="10">
        <f>_xlfn.XLOOKUP(B127,CardData!A:A,CardData!B:B,"")</f>
        <v/>
      </c>
      <c r="F127" s="10">
        <f>_xlfn.XLOOKUP(B127,CardData!$A:$A,CardData!E:E,"None")</f>
        <v/>
      </c>
    </row>
    <row r="128">
      <c r="A128" s="10" t="n">
        <v>2</v>
      </c>
      <c r="B128" s="10" t="n">
        <v>3012</v>
      </c>
      <c r="C128" s="10" t="n">
        <v>1</v>
      </c>
      <c r="D128" s="10" t="n"/>
      <c r="E128" s="10">
        <f>_xlfn.XLOOKUP(B128,CardData!A:A,CardData!B:B,"")</f>
        <v/>
      </c>
      <c r="F128" s="10">
        <f>_xlfn.XLOOKUP(B128,CardData!$A:$A,CardData!E:E,"None")</f>
        <v/>
      </c>
    </row>
    <row r="129">
      <c r="A129" s="10" t="n">
        <v>2</v>
      </c>
      <c r="B129" s="10" t="n">
        <v>1019</v>
      </c>
      <c r="C129" s="10" t="n">
        <v>1</v>
      </c>
      <c r="D129" s="10" t="n"/>
      <c r="E129" s="10">
        <f>_xlfn.XLOOKUP(B129,CardData!A:A,CardData!B:B,"")</f>
        <v/>
      </c>
      <c r="F129" s="10">
        <f>_xlfn.XLOOKUP(B129,CardData!$A:$A,CardData!E:E,"None")</f>
        <v/>
      </c>
    </row>
    <row r="130">
      <c r="A130" s="10" t="n">
        <v>2</v>
      </c>
      <c r="B130" s="10" t="n">
        <v>3013</v>
      </c>
      <c r="C130" s="10" t="n">
        <v>1</v>
      </c>
      <c r="D130" s="10" t="n"/>
      <c r="E130" s="10">
        <f>_xlfn.XLOOKUP(B130,CardData!A:A,CardData!B:B,"")</f>
        <v/>
      </c>
      <c r="F130" s="10">
        <f>_xlfn.XLOOKUP(B130,CardData!$A:$A,CardData!E:E,"None")</f>
        <v/>
      </c>
    </row>
    <row r="131">
      <c r="A131" s="12" t="n">
        <v>3</v>
      </c>
      <c r="B131" s="12" t="n">
        <v>1003</v>
      </c>
      <c r="C131" s="12" t="n">
        <v>1</v>
      </c>
      <c r="D131" s="12" t="n"/>
      <c r="E131" s="12">
        <f>_xlfn.XLOOKUP(B131,CardData!A:A,CardData!B:B,"")</f>
        <v/>
      </c>
      <c r="F131" s="12">
        <f>_xlfn.XLOOKUP(B131,CardData!$A:$A,CardData!E:E,"None")</f>
        <v/>
      </c>
    </row>
    <row r="132">
      <c r="A132" s="12" t="n">
        <v>3</v>
      </c>
      <c r="B132" s="12" t="n">
        <v>1006</v>
      </c>
      <c r="C132" s="12" t="n">
        <v>1</v>
      </c>
      <c r="D132" s="12" t="n"/>
      <c r="E132" s="12">
        <f>_xlfn.XLOOKUP(B132,CardData!A:A,CardData!B:B,"")</f>
        <v/>
      </c>
      <c r="F132" s="12">
        <f>_xlfn.XLOOKUP(B132,CardData!$A:$A,CardData!E:E,"None")</f>
        <v/>
      </c>
    </row>
    <row r="133">
      <c r="A133" s="12" t="n">
        <v>3</v>
      </c>
      <c r="B133" s="12" t="n">
        <v>1007</v>
      </c>
      <c r="C133" s="12" t="n">
        <v>1</v>
      </c>
      <c r="D133" s="12" t="n"/>
      <c r="E133" s="12">
        <f>_xlfn.XLOOKUP(B133,CardData!A:A,CardData!B:B,"")</f>
        <v/>
      </c>
      <c r="F133" s="12">
        <f>_xlfn.XLOOKUP(B133,CardData!$A:$A,CardData!E:E,"None")</f>
        <v/>
      </c>
    </row>
    <row r="134">
      <c r="A134" s="12" t="n">
        <v>3</v>
      </c>
      <c r="B134" s="12" t="n">
        <v>2002</v>
      </c>
      <c r="C134" s="12" t="n">
        <v>1</v>
      </c>
      <c r="D134" s="12" t="n"/>
      <c r="E134" s="12">
        <f>_xlfn.XLOOKUP(B134,CardData!A:A,CardData!B:B,"")</f>
        <v/>
      </c>
      <c r="F134" s="12">
        <f>_xlfn.XLOOKUP(B134,CardData!$A:$A,CardData!E:E,"None")</f>
        <v/>
      </c>
    </row>
    <row r="135">
      <c r="A135" s="12" t="n">
        <v>3</v>
      </c>
      <c r="B135" s="12" t="n">
        <v>3005</v>
      </c>
      <c r="C135" s="12" t="n">
        <v>1</v>
      </c>
      <c r="D135" s="12" t="n"/>
      <c r="E135" s="12">
        <f>_xlfn.XLOOKUP(B135,CardData!A:A,CardData!B:B,"")</f>
        <v/>
      </c>
      <c r="F135" s="12">
        <f>_xlfn.XLOOKUP(B135,CardData!$A:$A,CardData!E:E,"None")</f>
        <v/>
      </c>
    </row>
    <row r="136">
      <c r="A136" s="12" t="n">
        <v>3</v>
      </c>
      <c r="B136" s="12" t="n">
        <v>1012</v>
      </c>
      <c r="C136" s="12" t="n">
        <v>1</v>
      </c>
      <c r="D136" s="12" t="n"/>
      <c r="E136" s="12">
        <f>_xlfn.XLOOKUP(B136,CardData!A:A,CardData!B:B,"")</f>
        <v/>
      </c>
      <c r="F136" s="12">
        <f>_xlfn.XLOOKUP(B136,CardData!$A:$A,CardData!E:E,"None")</f>
        <v/>
      </c>
    </row>
    <row r="137">
      <c r="A137" s="12" t="n">
        <v>3</v>
      </c>
      <c r="B137" s="12" t="n">
        <v>2010</v>
      </c>
      <c r="C137" s="12" t="n">
        <v>1</v>
      </c>
      <c r="D137" s="12" t="n"/>
      <c r="E137" s="12">
        <f>_xlfn.XLOOKUP(B137,CardData!A:A,CardData!B:B,"")</f>
        <v/>
      </c>
      <c r="F137" s="12">
        <f>_xlfn.XLOOKUP(B137,CardData!$A:$A,CardData!E:E,"None")</f>
        <v/>
      </c>
    </row>
    <row r="138">
      <c r="A138" s="12" t="n">
        <v>3</v>
      </c>
      <c r="B138" s="12" t="n">
        <v>1018</v>
      </c>
      <c r="C138" s="12" t="n">
        <v>1</v>
      </c>
      <c r="D138" s="12" t="n"/>
      <c r="E138" s="12">
        <f>_xlfn.XLOOKUP(B138,CardData!A:A,CardData!B:B,"")</f>
        <v/>
      </c>
      <c r="F138" s="12">
        <f>_xlfn.XLOOKUP(B138,CardData!$A:$A,CardData!E:E,"None")</f>
        <v/>
      </c>
    </row>
    <row r="139">
      <c r="A139" s="12" t="n">
        <v>3</v>
      </c>
      <c r="B139" s="12" t="n">
        <v>2012</v>
      </c>
      <c r="C139" s="12" t="n">
        <v>1</v>
      </c>
      <c r="D139" s="12" t="n"/>
      <c r="E139" s="12">
        <f>_xlfn.XLOOKUP(B139,CardData!A:A,CardData!B:B,"")</f>
        <v/>
      </c>
      <c r="F139" s="12">
        <f>_xlfn.XLOOKUP(B139,CardData!$A:$A,CardData!E:E,"None")</f>
        <v/>
      </c>
    </row>
    <row r="140">
      <c r="A140" s="12" t="n">
        <v>3</v>
      </c>
      <c r="B140" s="12" t="n">
        <v>4003</v>
      </c>
      <c r="C140" s="12" t="n">
        <v>1</v>
      </c>
      <c r="D140" s="12" t="n"/>
      <c r="E140" s="12">
        <f>_xlfn.XLOOKUP(B140,CardData!A:A,CardData!B:B,"")</f>
        <v/>
      </c>
      <c r="F140" s="12">
        <f>_xlfn.XLOOKUP(B140,CardData!$A:$A,CardData!E:E,"None")</f>
        <v/>
      </c>
    </row>
    <row r="141">
      <c r="A141" s="12" t="n">
        <v>3</v>
      </c>
      <c r="B141" s="12" t="n">
        <v>1020</v>
      </c>
      <c r="C141" s="12" t="n">
        <v>1</v>
      </c>
      <c r="D141" s="12" t="n"/>
      <c r="E141" s="12">
        <f>_xlfn.XLOOKUP(B141,CardData!A:A,CardData!B:B,"")</f>
        <v/>
      </c>
      <c r="F141" s="12">
        <f>_xlfn.XLOOKUP(B141,CardData!$A:$A,CardData!E:E,"None")</f>
        <v/>
      </c>
    </row>
    <row r="142">
      <c r="A142" s="12" t="n">
        <v>3</v>
      </c>
      <c r="B142" s="12" t="n">
        <v>2013</v>
      </c>
      <c r="C142" s="12" t="n">
        <v>1</v>
      </c>
      <c r="D142" s="12" t="n"/>
      <c r="E142" s="12">
        <f>_xlfn.XLOOKUP(B142,CardData!A:A,CardData!B:B,"")</f>
        <v/>
      </c>
      <c r="F142" s="12">
        <f>_xlfn.XLOOKUP(B142,CardData!$A:$A,CardData!E:E,"None")</f>
        <v/>
      </c>
    </row>
    <row r="143">
      <c r="A143" s="12" t="n">
        <v>3</v>
      </c>
      <c r="B143" s="12" t="n">
        <v>4004</v>
      </c>
      <c r="C143" s="12" t="n">
        <v>1</v>
      </c>
      <c r="D143" s="12" t="n"/>
      <c r="E143" s="12">
        <f>_xlfn.XLOOKUP(B143,CardData!A:A,CardData!B:B,"")</f>
        <v/>
      </c>
      <c r="F143" s="12">
        <f>_xlfn.XLOOKUP(B143,CardData!$A:$A,CardData!E:E,"None")</f>
        <v/>
      </c>
    </row>
    <row r="144">
      <c r="A144" s="12" t="n">
        <v>3</v>
      </c>
      <c r="B144" s="12" t="n">
        <v>1002</v>
      </c>
      <c r="C144" s="12" t="n">
        <v>1</v>
      </c>
      <c r="D144" s="12" t="n"/>
      <c r="E144" s="12">
        <f>_xlfn.XLOOKUP(B144,CardData!A:A,CardData!B:B,"")</f>
        <v/>
      </c>
      <c r="F144" s="12">
        <f>_xlfn.XLOOKUP(B144,CardData!$A:$A,CardData!E:E,"None")</f>
        <v/>
      </c>
    </row>
    <row r="145">
      <c r="A145" s="12" t="n">
        <v>3</v>
      </c>
      <c r="B145" s="12" t="n">
        <v>1004</v>
      </c>
      <c r="C145" s="12" t="n">
        <v>1</v>
      </c>
      <c r="D145" s="12" t="n"/>
      <c r="E145" s="12">
        <f>_xlfn.XLOOKUP(B145,CardData!A:A,CardData!B:B,"")</f>
        <v/>
      </c>
      <c r="F145" s="12">
        <f>_xlfn.XLOOKUP(B145,CardData!$A:$A,CardData!E:E,"None")</f>
        <v/>
      </c>
    </row>
    <row r="146">
      <c r="A146" s="12" t="n">
        <v>3</v>
      </c>
      <c r="B146" s="12" t="n">
        <v>1008</v>
      </c>
      <c r="C146" s="12" t="n">
        <v>1</v>
      </c>
      <c r="D146" s="12" t="n"/>
      <c r="E146" s="12">
        <f>_xlfn.XLOOKUP(B146,CardData!A:A,CardData!B:B,"")</f>
        <v/>
      </c>
      <c r="F146" s="12">
        <f>_xlfn.XLOOKUP(B146,CardData!$A:$A,CardData!E:E,"None")</f>
        <v/>
      </c>
    </row>
    <row r="147">
      <c r="A147" s="12" t="n">
        <v>3</v>
      </c>
      <c r="B147" s="12" t="n">
        <v>1009</v>
      </c>
      <c r="C147" s="12" t="n">
        <v>1</v>
      </c>
      <c r="D147" s="12" t="n"/>
      <c r="E147" s="12">
        <f>_xlfn.XLOOKUP(B147,CardData!A:A,CardData!B:B,"")</f>
        <v/>
      </c>
      <c r="F147" s="12">
        <f>_xlfn.XLOOKUP(B147,CardData!$A:$A,CardData!E:E,"None")</f>
        <v/>
      </c>
    </row>
    <row r="148">
      <c r="A148" s="12" t="n">
        <v>3</v>
      </c>
      <c r="B148" s="12" t="n">
        <v>2001</v>
      </c>
      <c r="C148" s="12" t="n">
        <v>1</v>
      </c>
      <c r="D148" s="12" t="n"/>
      <c r="E148" s="12">
        <f>_xlfn.XLOOKUP(B148,CardData!A:A,CardData!B:B,"")</f>
        <v/>
      </c>
      <c r="F148" s="12">
        <f>_xlfn.XLOOKUP(B148,CardData!$A:$A,CardData!E:E,"None")</f>
        <v/>
      </c>
    </row>
    <row r="149">
      <c r="A149" s="12" t="n">
        <v>3</v>
      </c>
      <c r="B149" s="12" t="n">
        <v>2004</v>
      </c>
      <c r="C149" s="12" t="n">
        <v>1</v>
      </c>
      <c r="D149" s="12" t="n"/>
      <c r="E149" s="12">
        <f>_xlfn.XLOOKUP(B149,CardData!A:A,CardData!B:B,"")</f>
        <v/>
      </c>
      <c r="F149" s="12">
        <f>_xlfn.XLOOKUP(B149,CardData!$A:$A,CardData!E:E,"None")</f>
        <v/>
      </c>
    </row>
    <row r="150">
      <c r="A150" s="12" t="n">
        <v>3</v>
      </c>
      <c r="B150" s="12" t="n">
        <v>2005</v>
      </c>
      <c r="C150" s="12" t="n">
        <v>1</v>
      </c>
      <c r="D150" s="12" t="n"/>
      <c r="E150" s="12">
        <f>_xlfn.XLOOKUP(B150,CardData!A:A,CardData!B:B,"")</f>
        <v/>
      </c>
      <c r="F150" s="12">
        <f>_xlfn.XLOOKUP(B150,CardData!$A:$A,CardData!E:E,"None")</f>
        <v/>
      </c>
    </row>
    <row r="151">
      <c r="A151" s="12" t="n">
        <v>3</v>
      </c>
      <c r="B151" s="12" t="n">
        <v>3002</v>
      </c>
      <c r="C151" s="12" t="n">
        <v>1</v>
      </c>
      <c r="D151" s="12" t="n"/>
      <c r="E151" s="12">
        <f>_xlfn.XLOOKUP(B151,CardData!A:A,CardData!B:B,"")</f>
        <v/>
      </c>
      <c r="F151" s="12">
        <f>_xlfn.XLOOKUP(B151,CardData!$A:$A,CardData!E:E,"None")</f>
        <v/>
      </c>
    </row>
    <row r="152">
      <c r="A152" s="12" t="n">
        <v>3</v>
      </c>
      <c r="B152" s="12" t="n">
        <v>3003</v>
      </c>
      <c r="C152" s="12" t="n">
        <v>1</v>
      </c>
      <c r="D152" s="12" t="n"/>
      <c r="E152" s="12">
        <f>_xlfn.XLOOKUP(B152,CardData!A:A,CardData!B:B,"")</f>
        <v/>
      </c>
      <c r="F152" s="12">
        <f>_xlfn.XLOOKUP(B152,CardData!$A:$A,CardData!E:E,"None")</f>
        <v/>
      </c>
    </row>
    <row r="153">
      <c r="A153" s="12" t="n">
        <v>3</v>
      </c>
      <c r="B153" s="12" t="n">
        <v>3004</v>
      </c>
      <c r="C153" s="12" t="n">
        <v>1</v>
      </c>
      <c r="D153" s="12" t="n"/>
      <c r="E153" s="12">
        <f>_xlfn.XLOOKUP(B153,CardData!A:A,CardData!B:B,"")</f>
        <v/>
      </c>
      <c r="F153" s="12">
        <f>_xlfn.XLOOKUP(B153,CardData!$A:$A,CardData!E:E,"None")</f>
        <v/>
      </c>
    </row>
    <row r="154">
      <c r="A154" s="12" t="n">
        <v>3</v>
      </c>
      <c r="B154" s="12" t="n">
        <v>1011</v>
      </c>
      <c r="C154" s="12" t="n">
        <v>1</v>
      </c>
      <c r="D154" s="12" t="n"/>
      <c r="E154" s="12">
        <f>_xlfn.XLOOKUP(B154,CardData!A:A,CardData!B:B,"")</f>
        <v/>
      </c>
      <c r="F154" s="12">
        <f>_xlfn.XLOOKUP(B154,CardData!$A:$A,CardData!E:E,"None")</f>
        <v/>
      </c>
    </row>
    <row r="155">
      <c r="A155" s="12" t="n">
        <v>3</v>
      </c>
      <c r="B155" s="12" t="n">
        <v>2006</v>
      </c>
      <c r="C155" s="12" t="n">
        <v>1</v>
      </c>
      <c r="D155" s="12" t="n"/>
      <c r="E155" s="12">
        <f>_xlfn.XLOOKUP(B155,CardData!A:A,CardData!B:B,"")</f>
        <v/>
      </c>
      <c r="F155" s="12">
        <f>_xlfn.XLOOKUP(B155,CardData!$A:$A,CardData!E:E,"None")</f>
        <v/>
      </c>
    </row>
    <row r="156">
      <c r="A156" s="12" t="n">
        <v>3</v>
      </c>
      <c r="B156" s="12" t="n">
        <v>4001</v>
      </c>
      <c r="C156" s="12" t="n">
        <v>1</v>
      </c>
      <c r="D156" s="12" t="n"/>
      <c r="E156" s="12">
        <f>_xlfn.XLOOKUP(B156,CardData!A:A,CardData!B:B,"")</f>
        <v/>
      </c>
      <c r="F156" s="12">
        <f>_xlfn.XLOOKUP(B156,CardData!$A:$A,CardData!E:E,"None")</f>
        <v/>
      </c>
    </row>
    <row r="157">
      <c r="A157" s="12" t="n">
        <v>3</v>
      </c>
      <c r="B157" s="12" t="n">
        <v>1014</v>
      </c>
      <c r="C157" s="12" t="n">
        <v>1</v>
      </c>
      <c r="D157" s="12" t="n"/>
      <c r="E157" s="12">
        <f>_xlfn.XLOOKUP(B157,CardData!A:A,CardData!B:B,"")</f>
        <v/>
      </c>
      <c r="F157" s="12">
        <f>_xlfn.XLOOKUP(B157,CardData!$A:$A,CardData!E:E,"None")</f>
        <v/>
      </c>
    </row>
    <row r="158">
      <c r="A158" s="12" t="n">
        <v>3</v>
      </c>
      <c r="B158" s="12" t="n">
        <v>2007</v>
      </c>
      <c r="C158" s="12" t="n">
        <v>1</v>
      </c>
      <c r="D158" s="12" t="n"/>
      <c r="E158" s="12">
        <f>_xlfn.XLOOKUP(B158,CardData!A:A,CardData!B:B,"")</f>
        <v/>
      </c>
      <c r="F158" s="12">
        <f>_xlfn.XLOOKUP(B158,CardData!$A:$A,CardData!E:E,"None")</f>
        <v/>
      </c>
    </row>
    <row r="159">
      <c r="A159" s="12" t="n">
        <v>3</v>
      </c>
      <c r="B159" s="12" t="n">
        <v>3007</v>
      </c>
      <c r="C159" s="12" t="n">
        <v>1</v>
      </c>
      <c r="D159" s="12" t="n"/>
      <c r="E159" s="12">
        <f>_xlfn.XLOOKUP(B159,CardData!A:A,CardData!B:B,"")</f>
        <v/>
      </c>
      <c r="F159" s="12">
        <f>_xlfn.XLOOKUP(B159,CardData!$A:$A,CardData!E:E,"None")</f>
        <v/>
      </c>
    </row>
    <row r="160">
      <c r="A160" s="12" t="n">
        <v>3</v>
      </c>
      <c r="B160" s="12" t="n">
        <v>3008</v>
      </c>
      <c r="C160" s="12" t="n">
        <v>1</v>
      </c>
      <c r="D160" s="12" t="n"/>
      <c r="E160" s="12">
        <f>_xlfn.XLOOKUP(B160,CardData!A:A,CardData!B:B,"")</f>
        <v/>
      </c>
      <c r="F160" s="12">
        <f>_xlfn.XLOOKUP(B160,CardData!$A:$A,CardData!E:E,"None")</f>
        <v/>
      </c>
    </row>
    <row r="161">
      <c r="A161" s="12" t="n">
        <v>3</v>
      </c>
      <c r="B161" s="12" t="n">
        <v>1015</v>
      </c>
      <c r="C161" s="12" t="n">
        <v>1</v>
      </c>
      <c r="D161" s="12" t="n"/>
      <c r="E161" s="12">
        <f>_xlfn.XLOOKUP(B161,CardData!A:A,CardData!B:B,"")</f>
        <v/>
      </c>
      <c r="F161" s="12">
        <f>_xlfn.XLOOKUP(B161,CardData!$A:$A,CardData!E:E,"None")</f>
        <v/>
      </c>
    </row>
    <row r="162">
      <c r="A162" s="12" t="n">
        <v>3</v>
      </c>
      <c r="B162" s="12" t="n">
        <v>2008</v>
      </c>
      <c r="C162" s="12" t="n">
        <v>1</v>
      </c>
      <c r="D162" s="12" t="n"/>
      <c r="E162" s="12">
        <f>_xlfn.XLOOKUP(B162,CardData!A:A,CardData!B:B,"")</f>
        <v/>
      </c>
      <c r="F162" s="12">
        <f>_xlfn.XLOOKUP(B162,CardData!$A:$A,CardData!E:E,"None")</f>
        <v/>
      </c>
    </row>
    <row r="163">
      <c r="A163" s="12" t="n">
        <v>3</v>
      </c>
      <c r="B163" s="12" t="n">
        <v>2009</v>
      </c>
      <c r="C163" s="12" t="n">
        <v>1</v>
      </c>
      <c r="D163" s="12" t="n"/>
      <c r="E163" s="12">
        <f>_xlfn.XLOOKUP(B163,CardData!A:A,CardData!B:B,"")</f>
        <v/>
      </c>
      <c r="F163" s="12">
        <f>_xlfn.XLOOKUP(B163,CardData!$A:$A,CardData!E:E,"None")</f>
        <v/>
      </c>
    </row>
    <row r="164">
      <c r="A164" s="12" t="n">
        <v>3</v>
      </c>
      <c r="B164" s="12" t="n">
        <v>3009</v>
      </c>
      <c r="C164" s="12" t="n">
        <v>1</v>
      </c>
      <c r="D164" s="12" t="n"/>
      <c r="E164" s="12">
        <f>_xlfn.XLOOKUP(B164,CardData!A:A,CardData!B:B,"")</f>
        <v/>
      </c>
      <c r="F164" s="12">
        <f>_xlfn.XLOOKUP(B164,CardData!$A:$A,CardData!E:E,"None")</f>
        <v/>
      </c>
    </row>
    <row r="165">
      <c r="A165" s="12" t="n">
        <v>3</v>
      </c>
      <c r="B165" s="12" t="n">
        <v>2011</v>
      </c>
      <c r="C165" s="12" t="n">
        <v>1</v>
      </c>
      <c r="D165" s="12" t="n"/>
      <c r="E165" s="12">
        <f>_xlfn.XLOOKUP(B165,CardData!A:A,CardData!B:B,"")</f>
        <v/>
      </c>
      <c r="F165" s="12">
        <f>_xlfn.XLOOKUP(B165,CardData!$A:$A,CardData!E:E,"None")</f>
        <v/>
      </c>
    </row>
    <row r="166">
      <c r="A166" s="12" t="n">
        <v>3</v>
      </c>
      <c r="B166" s="12" t="n">
        <v>4002</v>
      </c>
      <c r="C166" s="12" t="n">
        <v>1</v>
      </c>
      <c r="D166" s="12" t="n"/>
      <c r="E166" s="12">
        <f>_xlfn.XLOOKUP(B166,CardData!A:A,CardData!B:B,"")</f>
        <v/>
      </c>
      <c r="F166" s="12">
        <f>_xlfn.XLOOKUP(B166,CardData!$A:$A,CardData!E:E,"None")</f>
        <v/>
      </c>
    </row>
    <row r="167">
      <c r="A167" s="12" t="n">
        <v>3</v>
      </c>
      <c r="B167" s="12" t="n">
        <v>1017</v>
      </c>
      <c r="C167" s="12" t="n">
        <v>1</v>
      </c>
      <c r="D167" s="12" t="n"/>
      <c r="E167" s="12">
        <f>_xlfn.XLOOKUP(B167,CardData!A:A,CardData!B:B,"")</f>
        <v/>
      </c>
      <c r="F167" s="12">
        <f>_xlfn.XLOOKUP(B167,CardData!$A:$A,CardData!E:E,"None")</f>
        <v/>
      </c>
    </row>
    <row r="168">
      <c r="A168" s="12" t="n">
        <v>3</v>
      </c>
      <c r="B168" s="12" t="n">
        <v>3012</v>
      </c>
      <c r="C168" s="12" t="n">
        <v>1</v>
      </c>
      <c r="D168" s="12" t="n"/>
      <c r="E168" s="12">
        <f>_xlfn.XLOOKUP(B168,CardData!A:A,CardData!B:B,"")</f>
        <v/>
      </c>
      <c r="F168" s="12">
        <f>_xlfn.XLOOKUP(B168,CardData!$A:$A,CardData!E:E,"None")</f>
        <v/>
      </c>
    </row>
    <row r="169">
      <c r="A169" s="12" t="n">
        <v>3</v>
      </c>
      <c r="B169" s="12" t="n">
        <v>1019</v>
      </c>
      <c r="C169" s="12" t="n">
        <v>1</v>
      </c>
      <c r="D169" s="12" t="n"/>
      <c r="E169" s="12">
        <f>_xlfn.XLOOKUP(B169,CardData!A:A,CardData!B:B,"")</f>
        <v/>
      </c>
      <c r="F169" s="12">
        <f>_xlfn.XLOOKUP(B169,CardData!$A:$A,CardData!E:E,"None")</f>
        <v/>
      </c>
    </row>
    <row r="170">
      <c r="A170" s="12" t="n">
        <v>3</v>
      </c>
      <c r="B170" s="12" t="n">
        <v>3013</v>
      </c>
      <c r="C170" s="12" t="n">
        <v>1</v>
      </c>
      <c r="D170" s="12" t="n"/>
      <c r="E170" s="12">
        <f>_xlfn.XLOOKUP(B170,CardData!A:A,CardData!B:B,"")</f>
        <v/>
      </c>
      <c r="F170" s="12">
        <f>_xlfn.XLOOKUP(B170,CardData!$A:$A,CardData!E:E,"None")</f>
        <v/>
      </c>
    </row>
    <row r="171">
      <c r="A171" s="12" t="n">
        <v>3</v>
      </c>
      <c r="B171" s="12" t="n">
        <v>1001</v>
      </c>
      <c r="C171" s="12" t="n">
        <v>1</v>
      </c>
      <c r="D171" s="12" t="n"/>
      <c r="E171" s="12">
        <f>_xlfn.XLOOKUP(B171,CardData!A:A,CardData!B:B,"")</f>
        <v/>
      </c>
      <c r="F171" s="12">
        <f>_xlfn.XLOOKUP(B171,CardData!$A:$A,CardData!E:E,"None")</f>
        <v/>
      </c>
    </row>
    <row r="172">
      <c r="A172" s="12" t="n">
        <v>3</v>
      </c>
      <c r="B172" s="12" t="n">
        <v>1005</v>
      </c>
      <c r="C172" s="12" t="n">
        <v>1</v>
      </c>
      <c r="D172" s="12" t="n"/>
      <c r="E172" s="12">
        <f>_xlfn.XLOOKUP(B172,CardData!A:A,CardData!B:B,"")</f>
        <v/>
      </c>
      <c r="F172" s="12">
        <f>_xlfn.XLOOKUP(B172,CardData!$A:$A,CardData!E:E,"None")</f>
        <v/>
      </c>
    </row>
    <row r="173">
      <c r="A173" s="12" t="n">
        <v>3</v>
      </c>
      <c r="B173" s="12" t="n">
        <v>1010</v>
      </c>
      <c r="C173" s="12" t="n">
        <v>1</v>
      </c>
      <c r="D173" s="12" t="n"/>
      <c r="E173" s="12">
        <f>_xlfn.XLOOKUP(B173,CardData!A:A,CardData!B:B,"")</f>
        <v/>
      </c>
      <c r="F173" s="12">
        <f>_xlfn.XLOOKUP(B173,CardData!$A:$A,CardData!E:E,"None")</f>
        <v/>
      </c>
    </row>
    <row r="174">
      <c r="A174" s="12" t="n">
        <v>3</v>
      </c>
      <c r="B174" s="12" t="n">
        <v>2003</v>
      </c>
      <c r="C174" s="12" t="n">
        <v>1</v>
      </c>
      <c r="D174" s="12" t="n"/>
      <c r="E174" s="12">
        <f>_xlfn.XLOOKUP(B174,CardData!A:A,CardData!B:B,"")</f>
        <v/>
      </c>
      <c r="F174" s="12">
        <f>_xlfn.XLOOKUP(B174,CardData!$A:$A,CardData!E:E,"None")</f>
        <v/>
      </c>
    </row>
    <row r="175">
      <c r="A175" s="12" t="n">
        <v>3</v>
      </c>
      <c r="B175" s="12" t="n">
        <v>3001</v>
      </c>
      <c r="C175" s="12" t="n">
        <v>1</v>
      </c>
      <c r="D175" s="12" t="n"/>
      <c r="E175" s="12">
        <f>_xlfn.XLOOKUP(B175,CardData!A:A,CardData!B:B,"")</f>
        <v/>
      </c>
      <c r="F175" s="12">
        <f>_xlfn.XLOOKUP(B175,CardData!$A:$A,CardData!E:E,"None")</f>
        <v/>
      </c>
    </row>
    <row r="176">
      <c r="A176" s="12" t="n">
        <v>3</v>
      </c>
      <c r="B176" s="12" t="n">
        <v>3006</v>
      </c>
      <c r="C176" s="12" t="n">
        <v>1</v>
      </c>
      <c r="D176" s="12" t="n"/>
      <c r="E176" s="12">
        <f>_xlfn.XLOOKUP(B176,CardData!A:A,CardData!B:B,"")</f>
        <v/>
      </c>
      <c r="F176" s="12">
        <f>_xlfn.XLOOKUP(B176,CardData!$A:$A,CardData!E:E,"None")</f>
        <v/>
      </c>
    </row>
    <row r="177">
      <c r="A177" s="12" t="n">
        <v>3</v>
      </c>
      <c r="B177" s="12" t="n">
        <v>1013</v>
      </c>
      <c r="C177" s="12" t="n">
        <v>1</v>
      </c>
      <c r="D177" s="12" t="n"/>
      <c r="E177" s="12">
        <f>_xlfn.XLOOKUP(B177,CardData!A:A,CardData!B:B,"")</f>
        <v/>
      </c>
      <c r="F177" s="12">
        <f>_xlfn.XLOOKUP(B177,CardData!$A:$A,CardData!E:E,"None")</f>
        <v/>
      </c>
    </row>
    <row r="178">
      <c r="A178" s="12" t="n">
        <v>3</v>
      </c>
      <c r="B178" s="12" t="n">
        <v>1016</v>
      </c>
      <c r="C178" s="12" t="n">
        <v>1</v>
      </c>
      <c r="D178" s="12" t="n"/>
      <c r="E178" s="12">
        <f>_xlfn.XLOOKUP(B178,CardData!A:A,CardData!B:B,"")</f>
        <v/>
      </c>
      <c r="F178" s="12">
        <f>_xlfn.XLOOKUP(B178,CardData!$A:$A,CardData!E:E,"None")</f>
        <v/>
      </c>
    </row>
    <row r="179">
      <c r="A179" s="12" t="n">
        <v>3</v>
      </c>
      <c r="B179" s="12" t="n">
        <v>3010</v>
      </c>
      <c r="C179" s="12" t="n">
        <v>1</v>
      </c>
      <c r="D179" s="12" t="n"/>
      <c r="E179" s="12">
        <f>_xlfn.XLOOKUP(B179,CardData!A:A,CardData!B:B,"")</f>
        <v/>
      </c>
      <c r="F179" s="12">
        <f>_xlfn.XLOOKUP(B179,CardData!$A:$A,CardData!E:E,"None")</f>
        <v/>
      </c>
    </row>
    <row r="180">
      <c r="A180" s="12" t="n">
        <v>3</v>
      </c>
      <c r="B180" s="12" t="n">
        <v>3011</v>
      </c>
      <c r="C180" s="12" t="n">
        <v>1</v>
      </c>
      <c r="D180" s="12" t="n"/>
      <c r="E180" s="12">
        <f>_xlfn.XLOOKUP(B180,CardData!A:A,CardData!B:B,"")</f>
        <v/>
      </c>
      <c r="F180" s="12">
        <f>_xlfn.XLOOKUP(B180,CardData!$A:$A,CardData!E:E,"None")</f>
        <v/>
      </c>
    </row>
  </sheetData>
  <mergeCells count="3">
    <mergeCell ref="E1:E3"/>
    <mergeCell ref="D1:D3"/>
    <mergeCell ref="F1:F3"/>
  </mergeCells>
  <conditionalFormatting sqref="A4:A1048576">
    <cfRule type="expression" priority="1" dxfId="0">
      <formula>"$A4=0"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NPOI</dc:creator>
  <dcterms:created xsi:type="dcterms:W3CDTF">2026-03-31T09:53:00Z</dcterms:created>
  <dcterms:modified xsi:type="dcterms:W3CDTF">2026-04-20T09:08:38Z</dcterms:modified>
  <cp:lastModifiedBy>Jacky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Generator" fmtid="{D5CDD505-2E9C-101B-9397-08002B2CF9AE}" pid="2">
    <vt:lpwstr>NPOI</vt:lpwstr>
  </property>
  <property name="Generator Version" fmtid="{D5CDD505-2E9C-101B-9397-08002B2CF9AE}" pid="3">
    <vt:lpwstr>2.5.6</vt:lpwstr>
  </property>
  <property name="ICV" fmtid="{D5CDD505-2E9C-101B-9397-08002B2CF9AE}" pid="4">
    <vt:lpwstr>0BD9829233024B1484E53268DECAACFE_12</vt:lpwstr>
  </property>
  <property name="KSOProductBuildVer" fmtid="{D5CDD505-2E9C-101B-9397-08002B2CF9AE}" pid="5">
    <vt:lpwstr>2052-12.1.0.25225</vt:lpwstr>
  </property>
  <property name="CalculationRule" fmtid="{D5CDD505-2E9C-101B-9397-08002B2CF9AE}" pid="6">
    <vt:i4>0</vt:i4>
  </property>
</Properties>
</file>