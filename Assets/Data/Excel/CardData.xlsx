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CardData" sheetId="1" r:id="rId1"/>
    <sheet name="CardLibr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<sst xmlns="http://schemas.openxmlformats.org/spreadsheetml/2006/main" count="621" uniqueCount="238">
  <si>
    <t>卡牌ID</t>
  </si>
  <si>
    <t>卡牌名称</t>
  </si>
  <si>
    <t>卡牌说明</t>
  </si>
  <si>
    <t>卡牌类型</t>
  </si>
  <si>
    <t>卡牌稀有度</t>
  </si>
  <si>
    <t>卡面插图</t>
  </si>
  <si>
    <t>花费</t>
  </si>
  <si>
    <t>基础租金</t>
  </si>
  <si>
    <t>目标类型</t>
  </si>
  <si>
    <t>等待</t>
  </si>
  <si>
    <t>耐久</t>
  </si>
  <si>
    <t>前置效果</t>
  </si>
  <si>
    <t>即时效果</t>
  </si>
  <si>
    <t>结算效果</t>
  </si>
  <si>
    <t>销毁效果</t>
  </si>
  <si>
    <t>词条</t>
  </si>
  <si>
    <t>牌库</t>
  </si>
  <si>
    <t>cardId</t>
  </si>
  <si>
    <t>cardName</t>
  </si>
  <si>
    <t>description</t>
  </si>
  <si>
    <t>cardType</t>
  </si>
  <si>
    <t>rarity</t>
  </si>
  <si>
    <t>cardArt</t>
  </si>
  <si>
    <t>cost</t>
  </si>
  <si>
    <t>baseRent</t>
  </si>
  <si>
    <t>targetKind</t>
  </si>
  <si>
    <t>waitTurns</t>
  </si>
  <si>
    <t>durability</t>
  </si>
  <si>
    <t>preEffect</t>
  </si>
  <si>
    <t>instantEffect</t>
  </si>
  <si>
    <t>settleEffect</t>
  </si>
  <si>
    <t>destroyEffect</t>
  </si>
  <si>
    <t>libraries</t>
  </si>
  <si>
    <t>int</t>
  </si>
  <si>
    <t>string</t>
  </si>
  <si>
    <t>enum</t>
  </si>
  <si>
    <t>市场</t>
  </si>
  <si>
    <t>出门购物喽</t>
  </si>
  <si>
    <t>Card_Event</t>
  </si>
  <si>
    <t/>
  </si>
  <si>
    <t>PlayArea</t>
  </si>
  <si>
    <t>OpenShop</t>
  </si>
  <si>
    <t>程序员</t>
  </si>
  <si>
    <t>高薪但经常加班。</t>
  </si>
  <si>
    <t>Card_Tenant</t>
  </si>
  <si>
    <t>Room</t>
  </si>
  <si>
    <t>AddMoney;200</t>
  </si>
  <si>
    <t>ReduceMoney;100</t>
  </si>
  <si>
    <t>QuickTurnover|Payoff</t>
  </si>
  <si>
    <t>1|2</t>
  </si>
  <si>
    <t>主播</t>
  </si>
  <si>
    <t>高收入但经常搬家。</t>
  </si>
  <si>
    <t>AddMoney;240</t>
  </si>
  <si>
    <t>ReduceMoney;120</t>
  </si>
  <si>
    <t>医生</t>
  </si>
  <si>
    <t>定金高，长期承租。</t>
  </si>
  <si>
    <t>AddMoney;160</t>
  </si>
  <si>
    <t>ReduceMoney;80</t>
  </si>
  <si>
    <t>SteadyRent|Core</t>
  </si>
  <si>
    <t>双层床</t>
  </si>
  <si>
    <t>增加一个房客位置。</t>
  </si>
  <si>
    <t>Card_Equipt</t>
  </si>
  <si>
    <t>ExpandSlot;1</t>
  </si>
  <si>
    <t>Expansion|Engine</t>
  </si>
  <si>
    <t>应急贷款</t>
  </si>
  <si>
    <t>银行紧急资金。</t>
  </si>
  <si>
    <t>AddMoney;500</t>
  </si>
  <si>
    <t>BurstSettlement|Payoff</t>
  </si>
  <si>
    <t>夜班护士</t>
  </si>
  <si>
    <t>长班次，稳定回报，难以驱赶。</t>
  </si>
  <si>
    <t>ReduceMoney;30</t>
  </si>
  <si>
    <t>洗衣堆</t>
  </si>
  <si>
    <t>提升房间舒适度，房客留存更久。</t>
  </si>
  <si>
    <t>AddMoney;12|AddTenantDurabilityInSelectedRoom;1</t>
  </si>
  <si>
    <t>EquipmentStack|Sustain</t>
  </si>
  <si>
    <t>装修负责人</t>
  </si>
  <si>
    <t>建筑有更多房间在用时获得奖励。</t>
  </si>
  <si>
    <t>AddMoneyByRoomCount;12</t>
  </si>
  <si>
    <t>Expansion|Core</t>
  </si>
  <si>
    <t>隔断墙</t>
  </si>
  <si>
    <t>纯容量增长，无额外条件。</t>
  </si>
  <si>
    <t>ExpandSlot;2</t>
  </si>
  <si>
    <t>蓝图交易</t>
  </si>
  <si>
    <t>随着地产增长而变得更好的可扩展合约。</t>
  </si>
  <si>
    <t>Card_Contract</t>
  </si>
  <si>
    <t>AddMoneyByRoomCount;20|DrawCard;1</t>
  </si>
  <si>
    <t>Expansion|Anchor</t>
  </si>
  <si>
    <t>闪电经纪人</t>
  </si>
  <si>
    <t>短期高薪房客，留下增值残余。</t>
  </si>
  <si>
    <t>AddMoneyBySelectedRoomTenantCount;25</t>
  </si>
  <si>
    <t>AddMoney;70</t>
  </si>
  <si>
    <t>涡轮计价表</t>
  </si>
  <si>
    <t>把房间密度转化为每次结算的额外冲刺。</t>
  </si>
  <si>
    <t>AddMoneyBySelectedRoomTenantCount;10|AddMoney;15</t>
  </si>
  <si>
    <t>BurstSettlement|Support</t>
  </si>
  <si>
    <t>最终对账</t>
  </si>
  <si>
    <t>短期合约推动最后的现金和牌张突发。</t>
  </si>
  <si>
    <t>AddMoney;35|DrawCard;1</t>
  </si>
  <si>
    <t>BurstSettlement|Anchor</t>
  </si>
  <si>
    <t>白领</t>
  </si>
  <si>
    <t>工作稳定，房间整洁。</t>
  </si>
  <si>
    <t>AddMoney;120</t>
  </si>
  <si>
    <t>ReduceMoney;60</t>
  </si>
  <si>
    <t>0|1|2</t>
  </si>
  <si>
    <t>高级教师</t>
  </si>
  <si>
    <t>安静的老房客，长住不走。</t>
  </si>
  <si>
    <t>AddMoney;50</t>
  </si>
  <si>
    <t>ReduceMoney;25</t>
  </si>
  <si>
    <t>SteadyRent|Anchor</t>
  </si>
  <si>
    <t>厨师</t>
  </si>
  <si>
    <t>稳定可靠的好房客。</t>
  </si>
  <si>
    <t>AddMoney;100</t>
  </si>
  <si>
    <t>ReduceMoney;50</t>
  </si>
  <si>
    <t>EquipmentStack|Support</t>
  </si>
  <si>
    <t>画家</t>
  </si>
  <si>
    <t>需要时间适应新房间。</t>
  </si>
  <si>
    <t>AddMoney;80</t>
  </si>
  <si>
    <t>ReduceMoney;40</t>
  </si>
  <si>
    <t>Expansion|Setup</t>
  </si>
  <si>
    <t>空调</t>
  </si>
  <si>
    <t>提升房间舒适度。</t>
  </si>
  <si>
    <t>AddMoney;10</t>
  </si>
  <si>
    <t>SteadyRent|Support</t>
  </si>
  <si>
    <t>WiFi路由器</t>
  </si>
  <si>
    <t>生活必需品。</t>
  </si>
  <si>
    <t>AddMoney;15</t>
  </si>
  <si>
    <t>QuickTurnover|Support</t>
  </si>
  <si>
    <t>洗衣机</t>
  </si>
  <si>
    <t>洗衣便利性。</t>
  </si>
  <si>
    <t>AddMoney;8</t>
  </si>
  <si>
    <t>经纪人介绍</t>
  </si>
  <si>
    <t>支付费用抽取2张牌。</t>
  </si>
  <si>
    <t>DrawCard;2</t>
  </si>
  <si>
    <t>QuickTurnover|Bridge</t>
  </si>
  <si>
    <t>续签</t>
  </si>
  <si>
    <t>说服所有房客留下。</t>
  </si>
  <si>
    <t>AddTenantDurability;3</t>
  </si>
  <si>
    <t>维修</t>
  </si>
  <si>
    <t>修复所有设备。</t>
  </si>
  <si>
    <t>AddEquipmentDurability;3</t>
  </si>
  <si>
    <t>工会文员</t>
  </si>
  <si>
    <t>可靠的办公收入，房客流失少。</t>
  </si>
  <si>
    <t>ReduceMoney;20</t>
  </si>
  <si>
    <t>租赁账本</t>
  </si>
  <si>
    <t>把每个房间变成更清洁的收益线。</t>
  </si>
  <si>
    <t>长期租约</t>
  </si>
  <si>
    <t>在多个回合内锁定低风险收入。</t>
  </si>
  <si>
    <t>AddMoney;20|AddTenantDurability;1</t>
  </si>
  <si>
    <t>夜骑手</t>
  </si>
  <si>
    <t>短期入住，高速节奏，容易变现。</t>
  </si>
  <si>
    <t>清仓招牌</t>
  </si>
  <si>
    <t>让繁忙房间持续转化为现金。</t>
  </si>
  <si>
    <t>招聘电话</t>
  </si>
  <si>
    <t>立即抽牌补充手牌。</t>
  </si>
  <si>
    <t>QuickTurnover|Tempo</t>
  </si>
  <si>
    <t>搬迁令</t>
  </si>
  <si>
    <t>让头号房客搬出，为下一步计划腾出房间。</t>
  </si>
  <si>
    <t>MoveTenantToEmptyRoom|AddMoney;20</t>
  </si>
  <si>
    <t>QuickTurnover|Control</t>
  </si>
  <si>
    <t>万能工</t>
  </si>
  <si>
    <t>保持房间硬件完好，照常交租。</t>
  </si>
  <si>
    <t>AddEquipmentDurability;1</t>
  </si>
  <si>
    <t>EquipmentStack|Core</t>
  </si>
  <si>
    <t>额外书架</t>
  </si>
  <si>
    <t>为堆满的房间增加一个房客位置。</t>
  </si>
  <si>
    <t>EquipmentStack|Engine</t>
  </si>
  <si>
    <t>电源插座</t>
  </si>
  <si>
    <t>温和升级让叠放设备保持高效。</t>
  </si>
  <si>
    <t>AddMoney;10|AddEquipmentDurability;1</t>
  </si>
  <si>
    <t>维修队</t>
  </si>
  <si>
    <t>修复建筑并把维护费转化为小额收益。</t>
  </si>
  <si>
    <t>AddEquipmentDurability;3|AddMoney;40</t>
  </si>
  <si>
    <t>EquipmentStack|Bridge</t>
  </si>
  <si>
    <t>开放屋标志</t>
  </si>
  <si>
    <t>房屋越空，表现越好。</t>
  </si>
  <si>
    <t>AddMoneyByEmptyRooms;15</t>
  </si>
  <si>
    <t>VacancyEconomy|Support</t>
  </si>
  <si>
    <t>空房条款</t>
  </si>
  <si>
    <t>单位保持空房时付款更高。</t>
  </si>
  <si>
    <t>AddMoneyByEmptyRooms;25</t>
  </si>
  <si>
    <t>VacancyEconomy|Anchor</t>
  </si>
  <si>
    <t>楼层规划师</t>
  </si>
  <si>
    <t>每增加一个房间就赚一点。</t>
  </si>
  <si>
    <t>AddMoneyByRoomCount;10</t>
  </si>
  <si>
    <t>施工许可</t>
  </si>
  <si>
    <t>增加一个房间并在手牌中替换自己。</t>
  </si>
  <si>
    <t>AddRoom|DrawCard;1</t>
  </si>
  <si>
    <t>Expansion|Bridge</t>
  </si>
  <si>
    <t>夜间审计员</t>
  </si>
  <si>
    <t>选中的房间满客时支付更多。</t>
  </si>
  <si>
    <t>AddMoneyBySelectedRoomTenantCount;20</t>
  </si>
  <si>
    <t>BurstSettlement|Core</t>
  </si>
  <si>
    <t>快速结算</t>
  </si>
  <si>
    <t>为选中的房间触发一次安全的额外结算。</t>
  </si>
  <si>
    <t>TriggerSelectedRoomSettle</t>
  </si>
  <si>
    <t>BurstSettlement|Tempo</t>
  </si>
  <si>
    <t>工人</t>
  </si>
  <si>
    <t>勤快的工人，准时交租。</t>
  </si>
  <si>
    <t>AddMoney;60</t>
  </si>
  <si>
    <t>0|1</t>
  </si>
  <si>
    <t>学生</t>
  </si>
  <si>
    <t>房租便宜但租期短。</t>
  </si>
  <si>
    <t>AddMoney;40</t>
  </si>
  <si>
    <t>VacancyEconomy|Starter</t>
  </si>
  <si>
    <t>快递员</t>
  </si>
  <si>
    <t>来得快，去得也快。</t>
  </si>
  <si>
    <t>ReduceMoney;35</t>
  </si>
  <si>
    <t>热水器</t>
  </si>
  <si>
    <t>基础设施，耐用性强。</t>
  </si>
  <si>
    <t>AddMoney;5</t>
  </si>
  <si>
    <t>租金奖励</t>
  </si>
  <si>
    <t>额外的租金收入。</t>
  </si>
  <si>
    <t>催租单</t>
  </si>
  <si>
    <t>小小推动让房客继续交租和现金流动。</t>
  </si>
  <si>
    <t>AddMoney;60|AddTenantDurability;2</t>
  </si>
  <si>
    <t>SteadyRent|Tempo</t>
  </si>
  <si>
    <t>临时工</t>
  </si>
  <si>
    <t>便宜入场，快速回报，快速退出。</t>
  </si>
  <si>
    <t>QuickTurnover|Core</t>
  </si>
  <si>
    <t>转租户</t>
  </si>
  <si>
    <t>低租金把闲置单位变成额外收入。</t>
  </si>
  <si>
    <t>AddMoneyByEmptyRooms;10</t>
  </si>
  <si>
    <t>VacancyEconomy|Core</t>
  </si>
  <si>
    <t>空房清单</t>
  </si>
  <si>
    <t>有人搬出时立即从空单位变现。</t>
  </si>
  <si>
    <t>EvictTenantInSelectedRoom|AddMoneyByEmptyRooms;20</t>
  </si>
  <si>
    <t>VacancyEconomy|Payoff</t>
  </si>
  <si>
    <t>折扣传单</t>
  </si>
  <si>
    <t>把冷淡市场变成立即抽牌。</t>
  </si>
  <si>
    <t>DrawCard;1|AddMoneyByEmptyRooms;10</t>
  </si>
  <si>
    <t>VacancyEconomy|Bridge</t>
  </si>
  <si>
    <t>牌库Id</t>
  </si>
  <si>
    <t>卡牌Id</t>
  </si>
  <si>
    <t>卡牌数量</t>
  </si>
  <si>
    <t>后续不读</t>
  </si>
  <si>
    <t>稀有度</t>
  </si>
  <si>
    <t>libraryId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</si>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</sst>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indexed="8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>
      <alignment vertical="center"/>
    </xf>
    <xf numFmtId="44" fontId="3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42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3" fillId="9" borderId="4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5">
      <alignment vertical="center"/>
    </xf>
    <xf numFmtId="0" fontId="10" fillId="0" borderId="5">
      <alignment vertical="center"/>
    </xf>
    <xf numFmtId="0" fontId="11" fillId="0" borderId="6">
      <alignment vertical="center"/>
    </xf>
    <xf numFmtId="0" fontId="11" fillId="0" borderId="0">
      <alignment vertical="center"/>
    </xf>
    <xf numFmtId="0" fontId="12" fillId="10" borderId="7">
      <alignment vertical="center"/>
    </xf>
    <xf numFmtId="0" fontId="13" fillId="11" borderId="8">
      <alignment vertical="center"/>
    </xf>
    <xf numFmtId="0" fontId="14" fillId="11" borderId="7">
      <alignment vertical="center"/>
    </xf>
    <xf numFmtId="0" fontId="15" fillId="12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4" borderId="0" xfId="0" applyFill="1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6" tint="0.6"/>
        </patternFill>
      </fill>
      <border>
        <left/>
        <right/>
        <top/>
        <bottom/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4"/>
  <sheetViews>
    <sheetView tabSelected="1" workbookViewId="0">
      <pane ySplit="3" topLeftCell="A4" activePane="bottomLeft" state="frozen"/>
      <selection/>
      <selection pane="bottomLeft" activeCell="F17" sqref="F17"/>
    </sheetView>
  </sheetViews>
  <sheetFormatPr defaultColWidth="9" defaultRowHeight="13.5"/>
  <cols>
    <col min="1" max="1" width="7.425" customWidth="1"/>
    <col min="2" max="2" width="17.1416666666667" customWidth="1"/>
    <col min="3" max="3" width="50" customWidth="1"/>
    <col min="4" max="4" width="13.425" customWidth="1"/>
    <col min="5" max="5" width="12.5666666666667" customWidth="1"/>
    <col min="6" max="6" width="10.2833333333333" customWidth="1"/>
    <col min="7" max="7" width="6.625" customWidth="1"/>
    <col min="8" max="8" width="11.625" customWidth="1"/>
    <col min="9" max="10" width="14.375" customWidth="1"/>
    <col min="11" max="11" width="12.375" customWidth="1"/>
    <col min="12" max="12" width="14.5" customWidth="1"/>
    <col min="13" max="13" width="51.425" customWidth="1"/>
    <col min="14" max="14" width="51.7083333333333" customWidth="1"/>
    <col min="15" max="15" width="17.1416666666667" customWidth="1"/>
    <col min="16" max="16" width="23.7083333333333" customWidth="1"/>
    <col min="17" max="17" width="11.625" customWidth="1"/>
  </cols>
  <sheetData>
    <row r="1" s="1" customForma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="2" customFormat="1" spans="1:17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28</v>
      </c>
      <c r="M2" s="2" t="s">
        <v>29</v>
      </c>
      <c r="N2" s="2" t="s">
        <v>30</v>
      </c>
      <c r="O2" s="2" t="s">
        <v>31</v>
      </c>
      <c r="P2" s="2" t="s">
        <v>15</v>
      </c>
      <c r="Q2" s="2" t="s">
        <v>32</v>
      </c>
    </row>
    <row r="3" s="2" customFormat="1" spans="1:17">
      <c r="A3" s="2" t="s">
        <v>33</v>
      </c>
      <c r="B3" s="2" t="s">
        <v>34</v>
      </c>
      <c r="C3" s="2" t="s">
        <v>34</v>
      </c>
      <c r="D3" s="2" t="s">
        <v>35</v>
      </c>
      <c r="E3" s="2" t="s">
        <v>33</v>
      </c>
      <c r="F3" s="2" t="s">
        <v>34</v>
      </c>
      <c r="G3" s="2" t="s">
        <v>33</v>
      </c>
      <c r="H3" s="2" t="s">
        <v>33</v>
      </c>
      <c r="I3" s="2" t="s">
        <v>35</v>
      </c>
      <c r="J3" s="2" t="s">
        <v>33</v>
      </c>
      <c r="K3" s="2" t="s">
        <v>33</v>
      </c>
      <c r="L3" s="2" t="s">
        <v>34</v>
      </c>
      <c r="M3" s="2" t="s">
        <v>34</v>
      </c>
      <c r="N3" s="2" t="s">
        <v>34</v>
      </c>
      <c r="O3" s="2" t="s">
        <v>34</v>
      </c>
      <c r="P3" s="2" t="s">
        <v>34</v>
      </c>
      <c r="Q3" s="2" t="s">
        <v>34</v>
      </c>
    </row>
    <row r="4" s="11" customFormat="1" spans="1:17">
      <c r="A4" s="11">
        <v>9999</v>
      </c>
      <c r="B4" s="11" t="s">
        <v>36</v>
      </c>
      <c r="C4" s="11" t="s">
        <v>37</v>
      </c>
      <c r="D4" s="11" t="s">
        <v>38</v>
      </c>
      <c r="E4" s="11">
        <v>1</v>
      </c>
      <c r="F4" s="11" t="s">
        <v>39</v>
      </c>
      <c r="G4" s="11">
        <v>200</v>
      </c>
      <c r="H4" s="11">
        <v>0</v>
      </c>
      <c r="I4" s="11" t="s">
        <v>40</v>
      </c>
      <c r="J4" s="11">
        <v>0</v>
      </c>
      <c r="K4" s="11">
        <v>0</v>
      </c>
      <c r="L4" s="11" t="s">
        <v>39</v>
      </c>
      <c r="M4" s="11" t="s">
        <v>41</v>
      </c>
      <c r="N4" s="11" t="s">
        <v>39</v>
      </c>
    </row>
    <row r="5" spans="1:17">
      <c r="A5">
        <v>1003</v>
      </c>
      <c r="B5" t="s">
        <v>42</v>
      </c>
      <c r="C5" t="s">
        <v>43</v>
      </c>
      <c r="D5" t="s">
        <v>44</v>
      </c>
      <c r="E5">
        <v>2</v>
      </c>
      <c r="F5" t="s">
        <v>39</v>
      </c>
      <c r="G5">
        <v>200</v>
      </c>
      <c r="H5">
        <v>100</v>
      </c>
      <c r="I5" t="s">
        <v>45</v>
      </c>
      <c r="J5">
        <v>2</v>
      </c>
      <c r="K5">
        <v>4</v>
      </c>
      <c r="L5" t="s">
        <v>39</v>
      </c>
      <c r="M5" t="s">
        <v>46</v>
      </c>
      <c r="N5" t="s">
        <v>39</v>
      </c>
      <c r="O5" t="s">
        <v>47</v>
      </c>
      <c r="P5" t="s">
        <v>48</v>
      </c>
      <c r="Q5" t="s">
        <v>49</v>
      </c>
    </row>
    <row r="6" spans="1:17">
      <c r="A6">
        <v>1006</v>
      </c>
      <c r="B6" t="s">
        <v>50</v>
      </c>
      <c r="C6" t="s">
        <v>51</v>
      </c>
      <c r="D6" t="s">
        <v>44</v>
      </c>
      <c r="E6">
        <v>2</v>
      </c>
      <c r="F6" t="s">
        <v>39</v>
      </c>
      <c r="G6">
        <v>150</v>
      </c>
      <c r="H6">
        <v>120</v>
      </c>
      <c r="I6" t="s">
        <v>45</v>
      </c>
      <c r="J6">
        <v>2</v>
      </c>
      <c r="K6">
        <v>3</v>
      </c>
      <c r="L6" t="s">
        <v>39</v>
      </c>
      <c r="M6" t="s">
        <v>52</v>
      </c>
      <c r="N6" t="s">
        <v>39</v>
      </c>
      <c r="O6" t="s">
        <v>53</v>
      </c>
      <c r="P6" t="s">
        <v>48</v>
      </c>
      <c r="Q6" t="s">
        <v>49</v>
      </c>
    </row>
    <row r="7" spans="1:17">
      <c r="A7">
        <v>1007</v>
      </c>
      <c r="B7" t="s">
        <v>54</v>
      </c>
      <c r="C7" t="s">
        <v>55</v>
      </c>
      <c r="D7" t="s">
        <v>44</v>
      </c>
      <c r="E7">
        <v>2</v>
      </c>
      <c r="F7" t="s">
        <v>39</v>
      </c>
      <c r="G7">
        <v>250</v>
      </c>
      <c r="H7">
        <v>80</v>
      </c>
      <c r="I7" t="s">
        <v>45</v>
      </c>
      <c r="J7">
        <v>2</v>
      </c>
      <c r="K7">
        <v>10</v>
      </c>
      <c r="L7" t="s">
        <v>39</v>
      </c>
      <c r="M7" t="s">
        <v>56</v>
      </c>
      <c r="N7" t="s">
        <v>39</v>
      </c>
      <c r="O7" t="s">
        <v>57</v>
      </c>
      <c r="P7" t="s">
        <v>58</v>
      </c>
      <c r="Q7" t="s">
        <v>49</v>
      </c>
    </row>
    <row r="8" spans="1:17">
      <c r="A8">
        <v>2002</v>
      </c>
      <c r="B8" t="s">
        <v>59</v>
      </c>
      <c r="C8" t="s">
        <v>60</v>
      </c>
      <c r="D8" t="s">
        <v>61</v>
      </c>
      <c r="E8">
        <v>2</v>
      </c>
      <c r="F8" t="s">
        <v>39</v>
      </c>
      <c r="G8">
        <v>100</v>
      </c>
      <c r="H8">
        <v>0</v>
      </c>
      <c r="I8" t="s">
        <v>45</v>
      </c>
      <c r="J8">
        <v>0</v>
      </c>
      <c r="K8">
        <v>0</v>
      </c>
      <c r="L8" t="s">
        <v>39</v>
      </c>
      <c r="M8" t="s">
        <v>62</v>
      </c>
      <c r="N8" t="s">
        <v>39</v>
      </c>
      <c r="O8" t="s">
        <v>39</v>
      </c>
      <c r="P8" t="s">
        <v>63</v>
      </c>
      <c r="Q8" t="s">
        <v>49</v>
      </c>
    </row>
    <row r="9" spans="1:17">
      <c r="A9">
        <v>3005</v>
      </c>
      <c r="B9" t="s">
        <v>64</v>
      </c>
      <c r="C9" t="s">
        <v>65</v>
      </c>
      <c r="D9" t="s">
        <v>38</v>
      </c>
      <c r="E9">
        <v>2</v>
      </c>
      <c r="F9" t="s">
        <v>39</v>
      </c>
      <c r="G9">
        <v>0</v>
      </c>
      <c r="H9">
        <v>0</v>
      </c>
      <c r="I9" t="s">
        <v>40</v>
      </c>
      <c r="J9">
        <v>0</v>
      </c>
      <c r="K9">
        <v>0</v>
      </c>
      <c r="L9" t="s">
        <v>39</v>
      </c>
      <c r="M9" t="s">
        <v>66</v>
      </c>
      <c r="N9" t="s">
        <v>39</v>
      </c>
      <c r="O9" t="s">
        <v>39</v>
      </c>
      <c r="P9" t="s">
        <v>67</v>
      </c>
      <c r="Q9" t="s">
        <v>49</v>
      </c>
    </row>
    <row r="10" spans="1:17">
      <c r="A10">
        <v>1012</v>
      </c>
      <c r="B10" t="s">
        <v>68</v>
      </c>
      <c r="C10" t="s">
        <v>69</v>
      </c>
      <c r="D10" t="s">
        <v>44</v>
      </c>
      <c r="E10">
        <v>2</v>
      </c>
      <c r="F10" t="s">
        <v>39</v>
      </c>
      <c r="G10">
        <v>95</v>
      </c>
      <c r="H10">
        <v>45</v>
      </c>
      <c r="I10" t="s">
        <v>45</v>
      </c>
      <c r="J10">
        <v>2</v>
      </c>
      <c r="K10">
        <v>7</v>
      </c>
      <c r="L10" t="s">
        <v>39</v>
      </c>
      <c r="M10" t="s">
        <v>39</v>
      </c>
      <c r="N10" t="s">
        <v>39</v>
      </c>
      <c r="O10" t="s">
        <v>70</v>
      </c>
      <c r="P10" t="s">
        <v>58</v>
      </c>
      <c r="Q10" t="s">
        <v>49</v>
      </c>
    </row>
    <row r="11" spans="1:17">
      <c r="A11">
        <v>2010</v>
      </c>
      <c r="B11" t="s">
        <v>71</v>
      </c>
      <c r="C11" t="s">
        <v>72</v>
      </c>
      <c r="D11" t="s">
        <v>61</v>
      </c>
      <c r="E11">
        <v>2</v>
      </c>
      <c r="F11" t="s">
        <v>39</v>
      </c>
      <c r="G11">
        <v>95</v>
      </c>
      <c r="H11">
        <v>0</v>
      </c>
      <c r="I11" t="s">
        <v>45</v>
      </c>
      <c r="J11">
        <v>0</v>
      </c>
      <c r="K11">
        <v>6</v>
      </c>
      <c r="L11" t="s">
        <v>39</v>
      </c>
      <c r="M11" t="s">
        <v>39</v>
      </c>
      <c r="N11" t="s">
        <v>73</v>
      </c>
      <c r="O11" t="s">
        <v>39</v>
      </c>
      <c r="P11" t="s">
        <v>74</v>
      </c>
      <c r="Q11" t="s">
        <v>49</v>
      </c>
    </row>
    <row r="12" spans="1:17">
      <c r="A12">
        <v>1018</v>
      </c>
      <c r="B12" t="s">
        <v>75</v>
      </c>
      <c r="C12" t="s">
        <v>76</v>
      </c>
      <c r="D12" t="s">
        <v>44</v>
      </c>
      <c r="E12">
        <v>2</v>
      </c>
      <c r="F12" t="s">
        <v>39</v>
      </c>
      <c r="G12">
        <v>70</v>
      </c>
      <c r="H12">
        <v>32</v>
      </c>
      <c r="I12" t="s">
        <v>45</v>
      </c>
      <c r="J12">
        <v>2</v>
      </c>
      <c r="K12">
        <v>5</v>
      </c>
      <c r="L12" t="s">
        <v>39</v>
      </c>
      <c r="M12" t="s">
        <v>39</v>
      </c>
      <c r="N12" t="s">
        <v>77</v>
      </c>
      <c r="O12" t="s">
        <v>39</v>
      </c>
      <c r="P12" t="s">
        <v>78</v>
      </c>
      <c r="Q12" t="s">
        <v>49</v>
      </c>
    </row>
    <row r="13" spans="1:17">
      <c r="A13">
        <v>2012</v>
      </c>
      <c r="B13" t="s">
        <v>79</v>
      </c>
      <c r="C13" t="s">
        <v>80</v>
      </c>
      <c r="D13" t="s">
        <v>61</v>
      </c>
      <c r="E13">
        <v>2</v>
      </c>
      <c r="F13" t="s">
        <v>39</v>
      </c>
      <c r="G13">
        <v>110</v>
      </c>
      <c r="H13">
        <v>0</v>
      </c>
      <c r="I13" t="s">
        <v>45</v>
      </c>
      <c r="J13">
        <v>0</v>
      </c>
      <c r="K13">
        <v>5</v>
      </c>
      <c r="L13" t="s">
        <v>39</v>
      </c>
      <c r="M13" t="s">
        <v>81</v>
      </c>
      <c r="N13" t="s">
        <v>39</v>
      </c>
      <c r="O13" t="s">
        <v>39</v>
      </c>
      <c r="P13" t="s">
        <v>63</v>
      </c>
      <c r="Q13" t="s">
        <v>49</v>
      </c>
    </row>
    <row r="14" spans="1:17">
      <c r="A14">
        <v>4003</v>
      </c>
      <c r="B14" t="s">
        <v>82</v>
      </c>
      <c r="C14" t="s">
        <v>83</v>
      </c>
      <c r="D14" t="s">
        <v>84</v>
      </c>
      <c r="E14">
        <v>2</v>
      </c>
      <c r="F14" t="s">
        <v>39</v>
      </c>
      <c r="G14">
        <v>140</v>
      </c>
      <c r="H14">
        <v>0</v>
      </c>
      <c r="I14" t="s">
        <v>40</v>
      </c>
      <c r="J14">
        <v>0</v>
      </c>
      <c r="K14">
        <v>4</v>
      </c>
      <c r="L14" t="s">
        <v>39</v>
      </c>
      <c r="M14" t="s">
        <v>39</v>
      </c>
      <c r="N14" t="s">
        <v>85</v>
      </c>
      <c r="O14" t="s">
        <v>39</v>
      </c>
      <c r="P14" t="s">
        <v>86</v>
      </c>
      <c r="Q14" t="s">
        <v>49</v>
      </c>
    </row>
    <row r="15" spans="1:17">
      <c r="A15">
        <v>1020</v>
      </c>
      <c r="B15" t="s">
        <v>87</v>
      </c>
      <c r="C15" t="s">
        <v>88</v>
      </c>
      <c r="D15" t="s">
        <v>44</v>
      </c>
      <c r="E15">
        <v>2</v>
      </c>
      <c r="F15" t="s">
        <v>39</v>
      </c>
      <c r="G15">
        <v>80</v>
      </c>
      <c r="H15">
        <v>25</v>
      </c>
      <c r="I15" t="s">
        <v>45</v>
      </c>
      <c r="J15">
        <v>2</v>
      </c>
      <c r="K15">
        <v>3</v>
      </c>
      <c r="L15" t="s">
        <v>39</v>
      </c>
      <c r="M15" t="s">
        <v>39</v>
      </c>
      <c r="N15" t="s">
        <v>89</v>
      </c>
      <c r="O15" t="s">
        <v>90</v>
      </c>
      <c r="P15" t="s">
        <v>67</v>
      </c>
      <c r="Q15" t="s">
        <v>49</v>
      </c>
    </row>
    <row r="16" spans="1:17">
      <c r="A16">
        <v>2013</v>
      </c>
      <c r="B16" t="s">
        <v>91</v>
      </c>
      <c r="C16" t="s">
        <v>92</v>
      </c>
      <c r="D16" t="s">
        <v>61</v>
      </c>
      <c r="E16">
        <v>2</v>
      </c>
      <c r="F16" t="s">
        <v>39</v>
      </c>
      <c r="G16">
        <v>90</v>
      </c>
      <c r="H16">
        <v>0</v>
      </c>
      <c r="I16" t="s">
        <v>45</v>
      </c>
      <c r="J16">
        <v>0</v>
      </c>
      <c r="K16">
        <v>4</v>
      </c>
      <c r="L16" t="s">
        <v>39</v>
      </c>
      <c r="M16" t="s">
        <v>39</v>
      </c>
      <c r="N16" t="s">
        <v>93</v>
      </c>
      <c r="O16" t="s">
        <v>39</v>
      </c>
      <c r="P16" t="s">
        <v>94</v>
      </c>
      <c r="Q16" t="s">
        <v>49</v>
      </c>
    </row>
    <row r="17" spans="1:17">
      <c r="A17">
        <v>4004</v>
      </c>
      <c r="B17" t="s">
        <v>95</v>
      </c>
      <c r="C17" t="s">
        <v>96</v>
      </c>
      <c r="D17" t="s">
        <v>84</v>
      </c>
      <c r="E17">
        <v>2</v>
      </c>
      <c r="F17" t="s">
        <v>39</v>
      </c>
      <c r="G17">
        <v>130</v>
      </c>
      <c r="H17">
        <v>0</v>
      </c>
      <c r="I17" t="s">
        <v>40</v>
      </c>
      <c r="J17">
        <v>0</v>
      </c>
      <c r="K17">
        <v>3</v>
      </c>
      <c r="L17" t="s">
        <v>39</v>
      </c>
      <c r="M17" t="s">
        <v>39</v>
      </c>
      <c r="N17" t="s">
        <v>97</v>
      </c>
      <c r="O17" t="s">
        <v>39</v>
      </c>
      <c r="P17" t="s">
        <v>98</v>
      </c>
      <c r="Q17" t="s">
        <v>49</v>
      </c>
    </row>
    <row r="18" spans="1:17">
      <c r="A18">
        <v>1002</v>
      </c>
      <c r="B18" t="s">
        <v>99</v>
      </c>
      <c r="C18" t="s">
        <v>100</v>
      </c>
      <c r="D18" t="s">
        <v>44</v>
      </c>
      <c r="E18">
        <v>1</v>
      </c>
      <c r="F18" t="s">
        <v>39</v>
      </c>
      <c r="G18">
        <v>120</v>
      </c>
      <c r="H18">
        <v>60</v>
      </c>
      <c r="I18" t="s">
        <v>45</v>
      </c>
      <c r="J18">
        <v>2</v>
      </c>
      <c r="K18">
        <v>8</v>
      </c>
      <c r="L18" t="s">
        <v>39</v>
      </c>
      <c r="M18" t="s">
        <v>101</v>
      </c>
      <c r="N18" t="s">
        <v>39</v>
      </c>
      <c r="O18" t="s">
        <v>102</v>
      </c>
      <c r="P18" t="s">
        <v>58</v>
      </c>
      <c r="Q18" t="s">
        <v>103</v>
      </c>
    </row>
    <row r="19" spans="1:17">
      <c r="A19">
        <v>1004</v>
      </c>
      <c r="B19" t="s">
        <v>104</v>
      </c>
      <c r="C19" t="s">
        <v>105</v>
      </c>
      <c r="D19" t="s">
        <v>44</v>
      </c>
      <c r="E19">
        <v>1</v>
      </c>
      <c r="F19" t="s">
        <v>39</v>
      </c>
      <c r="G19">
        <v>80</v>
      </c>
      <c r="H19">
        <v>25</v>
      </c>
      <c r="I19" t="s">
        <v>45</v>
      </c>
      <c r="J19">
        <v>2</v>
      </c>
      <c r="K19">
        <v>0</v>
      </c>
      <c r="L19" t="s">
        <v>39</v>
      </c>
      <c r="M19" t="s">
        <v>106</v>
      </c>
      <c r="N19" t="s">
        <v>39</v>
      </c>
      <c r="O19" t="s">
        <v>107</v>
      </c>
      <c r="P19" t="s">
        <v>108</v>
      </c>
      <c r="Q19" t="s">
        <v>103</v>
      </c>
    </row>
    <row r="20" spans="1:17">
      <c r="A20">
        <v>1008</v>
      </c>
      <c r="B20" t="s">
        <v>109</v>
      </c>
      <c r="C20" t="s">
        <v>110</v>
      </c>
      <c r="D20" t="s">
        <v>44</v>
      </c>
      <c r="E20">
        <v>1</v>
      </c>
      <c r="F20" t="s">
        <v>39</v>
      </c>
      <c r="G20">
        <v>100</v>
      </c>
      <c r="H20">
        <v>50</v>
      </c>
      <c r="I20" t="s">
        <v>45</v>
      </c>
      <c r="J20">
        <v>2</v>
      </c>
      <c r="K20">
        <v>6</v>
      </c>
      <c r="L20" t="s">
        <v>39</v>
      </c>
      <c r="M20" t="s">
        <v>111</v>
      </c>
      <c r="N20" t="s">
        <v>39</v>
      </c>
      <c r="O20" t="s">
        <v>112</v>
      </c>
      <c r="P20" t="s">
        <v>113</v>
      </c>
      <c r="Q20" t="s">
        <v>103</v>
      </c>
    </row>
    <row r="21" spans="1:17">
      <c r="A21">
        <v>1009</v>
      </c>
      <c r="B21" t="s">
        <v>114</v>
      </c>
      <c r="C21" t="s">
        <v>115</v>
      </c>
      <c r="D21" t="s">
        <v>44</v>
      </c>
      <c r="E21">
        <v>1</v>
      </c>
      <c r="F21" t="s">
        <v>39</v>
      </c>
      <c r="G21">
        <v>60</v>
      </c>
      <c r="H21">
        <v>40</v>
      </c>
      <c r="I21" t="s">
        <v>45</v>
      </c>
      <c r="J21">
        <v>2</v>
      </c>
      <c r="K21">
        <v>6</v>
      </c>
      <c r="L21" t="s">
        <v>39</v>
      </c>
      <c r="M21" t="s">
        <v>116</v>
      </c>
      <c r="N21" t="s">
        <v>39</v>
      </c>
      <c r="O21" t="s">
        <v>117</v>
      </c>
      <c r="P21" t="s">
        <v>118</v>
      </c>
      <c r="Q21" t="s">
        <v>103</v>
      </c>
    </row>
    <row r="22" spans="1:17">
      <c r="A22">
        <v>2001</v>
      </c>
      <c r="B22" t="s">
        <v>119</v>
      </c>
      <c r="C22" t="s">
        <v>120</v>
      </c>
      <c r="D22" t="s">
        <v>61</v>
      </c>
      <c r="E22">
        <v>1</v>
      </c>
      <c r="F22" t="s">
        <v>39</v>
      </c>
      <c r="G22">
        <v>80</v>
      </c>
      <c r="H22">
        <v>0</v>
      </c>
      <c r="I22" t="s">
        <v>45</v>
      </c>
      <c r="J22">
        <v>0</v>
      </c>
      <c r="K22">
        <v>5</v>
      </c>
      <c r="L22" t="s">
        <v>39</v>
      </c>
      <c r="M22" t="s">
        <v>39</v>
      </c>
      <c r="N22" t="s">
        <v>121</v>
      </c>
      <c r="O22" t="s">
        <v>39</v>
      </c>
      <c r="P22" t="s">
        <v>122</v>
      </c>
      <c r="Q22" t="s">
        <v>103</v>
      </c>
    </row>
    <row r="23" spans="1:17">
      <c r="A23">
        <v>2004</v>
      </c>
      <c r="B23" t="s">
        <v>123</v>
      </c>
      <c r="C23" t="s">
        <v>124</v>
      </c>
      <c r="D23" t="s">
        <v>61</v>
      </c>
      <c r="E23">
        <v>1</v>
      </c>
      <c r="F23" t="s">
        <v>39</v>
      </c>
      <c r="G23">
        <v>90</v>
      </c>
      <c r="H23">
        <v>0</v>
      </c>
      <c r="I23" t="s">
        <v>45</v>
      </c>
      <c r="J23">
        <v>0</v>
      </c>
      <c r="K23">
        <v>6</v>
      </c>
      <c r="L23" t="s">
        <v>39</v>
      </c>
      <c r="M23" t="s">
        <v>39</v>
      </c>
      <c r="N23" t="s">
        <v>125</v>
      </c>
      <c r="O23" t="s">
        <v>39</v>
      </c>
      <c r="P23" t="s">
        <v>126</v>
      </c>
      <c r="Q23" t="s">
        <v>103</v>
      </c>
    </row>
    <row r="24" spans="1:17">
      <c r="A24">
        <v>2005</v>
      </c>
      <c r="B24" t="s">
        <v>127</v>
      </c>
      <c r="C24" t="s">
        <v>128</v>
      </c>
      <c r="D24" t="s">
        <v>61</v>
      </c>
      <c r="E24">
        <v>1</v>
      </c>
      <c r="F24" t="s">
        <v>39</v>
      </c>
      <c r="G24">
        <v>70</v>
      </c>
      <c r="H24">
        <v>0</v>
      </c>
      <c r="I24" t="s">
        <v>45</v>
      </c>
      <c r="J24">
        <v>0</v>
      </c>
      <c r="K24">
        <v>7</v>
      </c>
      <c r="L24" t="s">
        <v>39</v>
      </c>
      <c r="M24" t="s">
        <v>39</v>
      </c>
      <c r="N24" t="s">
        <v>129</v>
      </c>
      <c r="O24" t="s">
        <v>39</v>
      </c>
      <c r="P24" t="s">
        <v>113</v>
      </c>
      <c r="Q24" t="s">
        <v>103</v>
      </c>
    </row>
    <row r="25" spans="1:17">
      <c r="A25">
        <v>3002</v>
      </c>
      <c r="B25" t="s">
        <v>130</v>
      </c>
      <c r="C25" t="s">
        <v>131</v>
      </c>
      <c r="D25" t="s">
        <v>38</v>
      </c>
      <c r="E25">
        <v>1</v>
      </c>
      <c r="F25" t="s">
        <v>39</v>
      </c>
      <c r="G25">
        <v>50</v>
      </c>
      <c r="H25">
        <v>0</v>
      </c>
      <c r="I25" t="s">
        <v>40</v>
      </c>
      <c r="J25">
        <v>0</v>
      </c>
      <c r="K25">
        <v>0</v>
      </c>
      <c r="L25" t="s">
        <v>39</v>
      </c>
      <c r="M25" t="s">
        <v>132</v>
      </c>
      <c r="N25" t="s">
        <v>39</v>
      </c>
      <c r="O25" t="s">
        <v>39</v>
      </c>
      <c r="P25" t="s">
        <v>133</v>
      </c>
      <c r="Q25" t="s">
        <v>103</v>
      </c>
    </row>
    <row r="26" spans="1:17">
      <c r="A26">
        <v>3003</v>
      </c>
      <c r="B26" t="s">
        <v>134</v>
      </c>
      <c r="C26" t="s">
        <v>135</v>
      </c>
      <c r="D26" t="s">
        <v>38</v>
      </c>
      <c r="E26">
        <v>1</v>
      </c>
      <c r="F26" t="s">
        <v>39</v>
      </c>
      <c r="G26">
        <v>80</v>
      </c>
      <c r="H26">
        <v>0</v>
      </c>
      <c r="I26" t="s">
        <v>40</v>
      </c>
      <c r="J26">
        <v>0</v>
      </c>
      <c r="K26">
        <v>0</v>
      </c>
      <c r="L26" t="s">
        <v>39</v>
      </c>
      <c r="M26" t="s">
        <v>136</v>
      </c>
      <c r="N26" t="s">
        <v>39</v>
      </c>
      <c r="O26" t="s">
        <v>39</v>
      </c>
      <c r="P26" t="s">
        <v>122</v>
      </c>
      <c r="Q26" t="s">
        <v>103</v>
      </c>
    </row>
    <row r="27" spans="1:17">
      <c r="A27">
        <v>3004</v>
      </c>
      <c r="B27" t="s">
        <v>137</v>
      </c>
      <c r="C27" t="s">
        <v>138</v>
      </c>
      <c r="D27" t="s">
        <v>38</v>
      </c>
      <c r="E27">
        <v>1</v>
      </c>
      <c r="F27" t="s">
        <v>39</v>
      </c>
      <c r="G27">
        <v>60</v>
      </c>
      <c r="H27">
        <v>0</v>
      </c>
      <c r="I27" t="s">
        <v>40</v>
      </c>
      <c r="J27">
        <v>0</v>
      </c>
      <c r="K27">
        <v>0</v>
      </c>
      <c r="L27" t="s">
        <v>39</v>
      </c>
      <c r="M27" t="s">
        <v>139</v>
      </c>
      <c r="N27" t="s">
        <v>39</v>
      </c>
      <c r="O27" t="s">
        <v>39</v>
      </c>
      <c r="P27" t="s">
        <v>113</v>
      </c>
      <c r="Q27" t="s">
        <v>103</v>
      </c>
    </row>
    <row r="28" spans="1:17">
      <c r="A28">
        <v>1011</v>
      </c>
      <c r="B28" t="s">
        <v>140</v>
      </c>
      <c r="C28" t="s">
        <v>141</v>
      </c>
      <c r="D28" t="s">
        <v>44</v>
      </c>
      <c r="E28">
        <v>1</v>
      </c>
      <c r="F28" t="s">
        <v>39</v>
      </c>
      <c r="G28">
        <v>70</v>
      </c>
      <c r="H28">
        <v>35</v>
      </c>
      <c r="I28" t="s">
        <v>45</v>
      </c>
      <c r="J28">
        <v>2</v>
      </c>
      <c r="K28">
        <v>6</v>
      </c>
      <c r="L28" t="s">
        <v>39</v>
      </c>
      <c r="M28" t="s">
        <v>39</v>
      </c>
      <c r="N28" t="s">
        <v>39</v>
      </c>
      <c r="O28" t="s">
        <v>142</v>
      </c>
      <c r="P28" t="s">
        <v>58</v>
      </c>
      <c r="Q28" t="s">
        <v>103</v>
      </c>
    </row>
    <row r="29" spans="1:17">
      <c r="A29">
        <v>2006</v>
      </c>
      <c r="B29" t="s">
        <v>143</v>
      </c>
      <c r="C29" t="s">
        <v>144</v>
      </c>
      <c r="D29" t="s">
        <v>61</v>
      </c>
      <c r="E29">
        <v>1</v>
      </c>
      <c r="F29" t="s">
        <v>39</v>
      </c>
      <c r="G29">
        <v>85</v>
      </c>
      <c r="H29">
        <v>0</v>
      </c>
      <c r="I29" t="s">
        <v>45</v>
      </c>
      <c r="J29">
        <v>0</v>
      </c>
      <c r="K29">
        <v>5</v>
      </c>
      <c r="L29" t="s">
        <v>39</v>
      </c>
      <c r="M29" t="s">
        <v>39</v>
      </c>
      <c r="N29" t="s">
        <v>125</v>
      </c>
      <c r="O29" t="s">
        <v>39</v>
      </c>
      <c r="P29" t="s">
        <v>122</v>
      </c>
      <c r="Q29" t="s">
        <v>103</v>
      </c>
    </row>
    <row r="30" spans="1:17">
      <c r="A30">
        <v>4001</v>
      </c>
      <c r="B30" t="s">
        <v>145</v>
      </c>
      <c r="C30" t="s">
        <v>146</v>
      </c>
      <c r="D30" t="s">
        <v>84</v>
      </c>
      <c r="E30">
        <v>1</v>
      </c>
      <c r="F30" t="s">
        <v>39</v>
      </c>
      <c r="G30">
        <v>120</v>
      </c>
      <c r="H30">
        <v>0</v>
      </c>
      <c r="I30" t="s">
        <v>40</v>
      </c>
      <c r="J30">
        <v>0</v>
      </c>
      <c r="K30">
        <v>4</v>
      </c>
      <c r="L30" t="s">
        <v>39</v>
      </c>
      <c r="M30" t="s">
        <v>39</v>
      </c>
      <c r="N30" t="s">
        <v>147</v>
      </c>
      <c r="O30" t="s">
        <v>39</v>
      </c>
      <c r="P30" t="s">
        <v>108</v>
      </c>
      <c r="Q30" t="s">
        <v>103</v>
      </c>
    </row>
    <row r="31" spans="1:17">
      <c r="A31">
        <v>1014</v>
      </c>
      <c r="B31" t="s">
        <v>148</v>
      </c>
      <c r="C31" t="s">
        <v>149</v>
      </c>
      <c r="D31" t="s">
        <v>44</v>
      </c>
      <c r="E31">
        <v>1</v>
      </c>
      <c r="F31" t="s">
        <v>39</v>
      </c>
      <c r="G31">
        <v>80</v>
      </c>
      <c r="H31">
        <v>35</v>
      </c>
      <c r="I31" t="s">
        <v>45</v>
      </c>
      <c r="J31">
        <v>2</v>
      </c>
      <c r="K31">
        <v>3</v>
      </c>
      <c r="L31" t="s">
        <v>39</v>
      </c>
      <c r="M31" t="s">
        <v>39</v>
      </c>
      <c r="N31" t="s">
        <v>39</v>
      </c>
      <c r="O31" t="s">
        <v>90</v>
      </c>
      <c r="P31" t="s">
        <v>48</v>
      </c>
      <c r="Q31" t="s">
        <v>103</v>
      </c>
    </row>
    <row r="32" spans="1:17">
      <c r="A32">
        <v>2007</v>
      </c>
      <c r="B32" t="s">
        <v>150</v>
      </c>
      <c r="C32" t="s">
        <v>151</v>
      </c>
      <c r="D32" t="s">
        <v>61</v>
      </c>
      <c r="E32">
        <v>1</v>
      </c>
      <c r="F32" t="s">
        <v>39</v>
      </c>
      <c r="G32">
        <v>65</v>
      </c>
      <c r="H32">
        <v>0</v>
      </c>
      <c r="I32" t="s">
        <v>45</v>
      </c>
      <c r="J32">
        <v>0</v>
      </c>
      <c r="K32">
        <v>4</v>
      </c>
      <c r="L32" t="s">
        <v>39</v>
      </c>
      <c r="M32" t="s">
        <v>39</v>
      </c>
      <c r="N32" t="s">
        <v>121</v>
      </c>
      <c r="O32" t="s">
        <v>39</v>
      </c>
      <c r="P32" t="s">
        <v>126</v>
      </c>
      <c r="Q32" t="s">
        <v>103</v>
      </c>
    </row>
    <row r="33" spans="1:17">
      <c r="A33">
        <v>3007</v>
      </c>
      <c r="B33" t="s">
        <v>152</v>
      </c>
      <c r="C33" t="s">
        <v>153</v>
      </c>
      <c r="D33" t="s">
        <v>38</v>
      </c>
      <c r="E33">
        <v>1</v>
      </c>
      <c r="F33" t="s">
        <v>39</v>
      </c>
      <c r="G33">
        <v>40</v>
      </c>
      <c r="H33">
        <v>0</v>
      </c>
      <c r="I33" t="s">
        <v>40</v>
      </c>
      <c r="J33">
        <v>0</v>
      </c>
      <c r="K33">
        <v>0</v>
      </c>
      <c r="L33" t="s">
        <v>39</v>
      </c>
      <c r="M33" t="s">
        <v>132</v>
      </c>
      <c r="N33" t="s">
        <v>39</v>
      </c>
      <c r="O33" t="s">
        <v>39</v>
      </c>
      <c r="P33" t="s">
        <v>154</v>
      </c>
      <c r="Q33" t="s">
        <v>103</v>
      </c>
    </row>
    <row r="34" spans="1:17">
      <c r="A34">
        <v>3008</v>
      </c>
      <c r="B34" t="s">
        <v>155</v>
      </c>
      <c r="C34" t="s">
        <v>156</v>
      </c>
      <c r="D34" t="s">
        <v>38</v>
      </c>
      <c r="E34">
        <v>1</v>
      </c>
      <c r="F34" t="s">
        <v>39</v>
      </c>
      <c r="G34">
        <v>25</v>
      </c>
      <c r="H34">
        <v>0</v>
      </c>
      <c r="I34" t="s">
        <v>45</v>
      </c>
      <c r="J34">
        <v>0</v>
      </c>
      <c r="K34">
        <v>0</v>
      </c>
      <c r="L34" t="s">
        <v>39</v>
      </c>
      <c r="M34" t="s">
        <v>157</v>
      </c>
      <c r="N34" t="s">
        <v>39</v>
      </c>
      <c r="O34" t="s">
        <v>39</v>
      </c>
      <c r="P34" t="s">
        <v>158</v>
      </c>
      <c r="Q34" t="s">
        <v>103</v>
      </c>
    </row>
    <row r="35" spans="1:17">
      <c r="A35">
        <v>1015</v>
      </c>
      <c r="B35" t="s">
        <v>159</v>
      </c>
      <c r="C35" t="s">
        <v>160</v>
      </c>
      <c r="D35" t="s">
        <v>44</v>
      </c>
      <c r="E35">
        <v>1</v>
      </c>
      <c r="F35" t="s">
        <v>39</v>
      </c>
      <c r="G35">
        <v>60</v>
      </c>
      <c r="H35">
        <v>30</v>
      </c>
      <c r="I35" t="s">
        <v>45</v>
      </c>
      <c r="J35">
        <v>2</v>
      </c>
      <c r="K35">
        <v>5</v>
      </c>
      <c r="L35" t="s">
        <v>39</v>
      </c>
      <c r="M35" t="s">
        <v>39</v>
      </c>
      <c r="N35" t="s">
        <v>161</v>
      </c>
      <c r="O35" t="s">
        <v>39</v>
      </c>
      <c r="P35" t="s">
        <v>162</v>
      </c>
      <c r="Q35" t="s">
        <v>103</v>
      </c>
    </row>
    <row r="36" spans="1:17">
      <c r="A36">
        <v>2008</v>
      </c>
      <c r="B36" t="s">
        <v>163</v>
      </c>
      <c r="C36" t="s">
        <v>164</v>
      </c>
      <c r="D36" t="s">
        <v>61</v>
      </c>
      <c r="E36">
        <v>1</v>
      </c>
      <c r="F36" t="s">
        <v>39</v>
      </c>
      <c r="G36">
        <v>80</v>
      </c>
      <c r="H36">
        <v>0</v>
      </c>
      <c r="I36" t="s">
        <v>45</v>
      </c>
      <c r="J36">
        <v>0</v>
      </c>
      <c r="K36">
        <v>5</v>
      </c>
      <c r="L36" t="s">
        <v>39</v>
      </c>
      <c r="M36" t="s">
        <v>62</v>
      </c>
      <c r="N36" t="s">
        <v>39</v>
      </c>
      <c r="O36" t="s">
        <v>39</v>
      </c>
      <c r="P36" t="s">
        <v>165</v>
      </c>
      <c r="Q36" t="s">
        <v>103</v>
      </c>
    </row>
    <row r="37" spans="1:17">
      <c r="A37">
        <v>2009</v>
      </c>
      <c r="B37" t="s">
        <v>166</v>
      </c>
      <c r="C37" t="s">
        <v>167</v>
      </c>
      <c r="D37" t="s">
        <v>61</v>
      </c>
      <c r="E37">
        <v>1</v>
      </c>
      <c r="F37" t="s">
        <v>39</v>
      </c>
      <c r="G37">
        <v>70</v>
      </c>
      <c r="H37">
        <v>0</v>
      </c>
      <c r="I37" t="s">
        <v>45</v>
      </c>
      <c r="J37">
        <v>0</v>
      </c>
      <c r="K37">
        <v>5</v>
      </c>
      <c r="L37" t="s">
        <v>39</v>
      </c>
      <c r="M37" t="s">
        <v>39</v>
      </c>
      <c r="N37" t="s">
        <v>168</v>
      </c>
      <c r="O37" t="s">
        <v>39</v>
      </c>
      <c r="P37" t="s">
        <v>113</v>
      </c>
      <c r="Q37" t="s">
        <v>103</v>
      </c>
    </row>
    <row r="38" spans="1:17">
      <c r="A38">
        <v>3009</v>
      </c>
      <c r="B38" t="s">
        <v>169</v>
      </c>
      <c r="C38" t="s">
        <v>170</v>
      </c>
      <c r="D38" t="s">
        <v>38</v>
      </c>
      <c r="E38">
        <v>1</v>
      </c>
      <c r="F38" t="s">
        <v>39</v>
      </c>
      <c r="G38">
        <v>55</v>
      </c>
      <c r="H38">
        <v>0</v>
      </c>
      <c r="I38" t="s">
        <v>40</v>
      </c>
      <c r="J38">
        <v>0</v>
      </c>
      <c r="K38">
        <v>0</v>
      </c>
      <c r="L38" t="s">
        <v>39</v>
      </c>
      <c r="M38" t="s">
        <v>171</v>
      </c>
      <c r="N38" t="s">
        <v>39</v>
      </c>
      <c r="O38" t="s">
        <v>39</v>
      </c>
      <c r="P38" t="s">
        <v>172</v>
      </c>
      <c r="Q38" t="s">
        <v>103</v>
      </c>
    </row>
    <row r="39" spans="1:17">
      <c r="A39">
        <v>2011</v>
      </c>
      <c r="B39" t="s">
        <v>173</v>
      </c>
      <c r="C39" t="s">
        <v>174</v>
      </c>
      <c r="D39" t="s">
        <v>61</v>
      </c>
      <c r="E39">
        <v>1</v>
      </c>
      <c r="F39" t="s">
        <v>39</v>
      </c>
      <c r="G39">
        <v>70</v>
      </c>
      <c r="H39">
        <v>0</v>
      </c>
      <c r="I39" t="s">
        <v>45</v>
      </c>
      <c r="J39">
        <v>0</v>
      </c>
      <c r="K39">
        <v>4</v>
      </c>
      <c r="L39" t="s">
        <v>39</v>
      </c>
      <c r="M39" t="s">
        <v>39</v>
      </c>
      <c r="N39" t="s">
        <v>175</v>
      </c>
      <c r="O39" t="s">
        <v>39</v>
      </c>
      <c r="P39" t="s">
        <v>176</v>
      </c>
      <c r="Q39" t="s">
        <v>103</v>
      </c>
    </row>
    <row r="40" spans="1:17">
      <c r="A40">
        <v>4002</v>
      </c>
      <c r="B40" t="s">
        <v>177</v>
      </c>
      <c r="C40" t="s">
        <v>178</v>
      </c>
      <c r="D40" t="s">
        <v>84</v>
      </c>
      <c r="E40">
        <v>1</v>
      </c>
      <c r="F40" t="s">
        <v>39</v>
      </c>
      <c r="G40">
        <v>100</v>
      </c>
      <c r="H40">
        <v>0</v>
      </c>
      <c r="I40" t="s">
        <v>40</v>
      </c>
      <c r="J40">
        <v>0</v>
      </c>
      <c r="K40">
        <v>4</v>
      </c>
      <c r="L40" t="s">
        <v>39</v>
      </c>
      <c r="M40" t="s">
        <v>39</v>
      </c>
      <c r="N40" t="s">
        <v>179</v>
      </c>
      <c r="O40" t="s">
        <v>39</v>
      </c>
      <c r="P40" t="s">
        <v>180</v>
      </c>
      <c r="Q40" t="s">
        <v>103</v>
      </c>
    </row>
    <row r="41" spans="1:17">
      <c r="A41">
        <v>1017</v>
      </c>
      <c r="B41" t="s">
        <v>181</v>
      </c>
      <c r="C41" t="s">
        <v>182</v>
      </c>
      <c r="D41" t="s">
        <v>44</v>
      </c>
      <c r="E41">
        <v>1</v>
      </c>
      <c r="F41" t="s">
        <v>39</v>
      </c>
      <c r="G41">
        <v>65</v>
      </c>
      <c r="H41">
        <v>28</v>
      </c>
      <c r="I41" t="s">
        <v>45</v>
      </c>
      <c r="J41">
        <v>2</v>
      </c>
      <c r="K41">
        <v>5</v>
      </c>
      <c r="L41" t="s">
        <v>39</v>
      </c>
      <c r="M41" t="s">
        <v>39</v>
      </c>
      <c r="N41" t="s">
        <v>183</v>
      </c>
      <c r="O41" t="s">
        <v>39</v>
      </c>
      <c r="P41" t="s">
        <v>78</v>
      </c>
      <c r="Q41" t="s">
        <v>103</v>
      </c>
    </row>
    <row r="42" spans="1:17">
      <c r="A42">
        <v>3012</v>
      </c>
      <c r="B42" t="s">
        <v>184</v>
      </c>
      <c r="C42" t="s">
        <v>185</v>
      </c>
      <c r="D42" t="s">
        <v>38</v>
      </c>
      <c r="E42">
        <v>1</v>
      </c>
      <c r="F42" t="s">
        <v>39</v>
      </c>
      <c r="G42">
        <v>80</v>
      </c>
      <c r="H42">
        <v>0</v>
      </c>
      <c r="I42" t="s">
        <v>40</v>
      </c>
      <c r="J42">
        <v>0</v>
      </c>
      <c r="K42">
        <v>0</v>
      </c>
      <c r="L42" t="s">
        <v>39</v>
      </c>
      <c r="M42" t="s">
        <v>186</v>
      </c>
      <c r="N42" t="s">
        <v>39</v>
      </c>
      <c r="O42" t="s">
        <v>39</v>
      </c>
      <c r="P42" t="s">
        <v>187</v>
      </c>
      <c r="Q42" t="s">
        <v>103</v>
      </c>
    </row>
    <row r="43" spans="1:17">
      <c r="A43">
        <v>1019</v>
      </c>
      <c r="B43" t="s">
        <v>188</v>
      </c>
      <c r="C43" t="s">
        <v>189</v>
      </c>
      <c r="D43" t="s">
        <v>44</v>
      </c>
      <c r="E43">
        <v>1</v>
      </c>
      <c r="F43" t="s">
        <v>39</v>
      </c>
      <c r="G43">
        <v>50</v>
      </c>
      <c r="H43">
        <v>20</v>
      </c>
      <c r="I43" t="s">
        <v>45</v>
      </c>
      <c r="J43">
        <v>2</v>
      </c>
      <c r="K43">
        <v>4</v>
      </c>
      <c r="L43" t="s">
        <v>39</v>
      </c>
      <c r="M43" t="s">
        <v>39</v>
      </c>
      <c r="N43" t="s">
        <v>190</v>
      </c>
      <c r="O43" t="s">
        <v>39</v>
      </c>
      <c r="P43" t="s">
        <v>191</v>
      </c>
      <c r="Q43" t="s">
        <v>103</v>
      </c>
    </row>
    <row r="44" spans="1:17">
      <c r="A44">
        <v>3013</v>
      </c>
      <c r="B44" t="s">
        <v>192</v>
      </c>
      <c r="C44" t="s">
        <v>193</v>
      </c>
      <c r="D44" t="s">
        <v>38</v>
      </c>
      <c r="E44">
        <v>1</v>
      </c>
      <c r="F44" t="s">
        <v>39</v>
      </c>
      <c r="G44">
        <v>70</v>
      </c>
      <c r="H44">
        <v>0</v>
      </c>
      <c r="I44" t="s">
        <v>45</v>
      </c>
      <c r="J44">
        <v>0</v>
      </c>
      <c r="K44">
        <v>0</v>
      </c>
      <c r="L44" t="s">
        <v>39</v>
      </c>
      <c r="M44" t="s">
        <v>194</v>
      </c>
      <c r="N44" t="s">
        <v>39</v>
      </c>
      <c r="O44" t="s">
        <v>39</v>
      </c>
      <c r="P44" t="s">
        <v>195</v>
      </c>
      <c r="Q44" t="s">
        <v>103</v>
      </c>
    </row>
    <row r="45" spans="1:17">
      <c r="A45">
        <v>1001</v>
      </c>
      <c r="B45" t="s">
        <v>196</v>
      </c>
      <c r="C45" t="s">
        <v>197</v>
      </c>
      <c r="D45" t="s">
        <v>44</v>
      </c>
      <c r="E45">
        <v>0</v>
      </c>
      <c r="F45" t="s">
        <v>39</v>
      </c>
      <c r="G45">
        <v>50</v>
      </c>
      <c r="H45">
        <v>30</v>
      </c>
      <c r="I45" t="s">
        <v>45</v>
      </c>
      <c r="J45">
        <v>2</v>
      </c>
      <c r="K45">
        <v>5</v>
      </c>
      <c r="L45" t="s">
        <v>39</v>
      </c>
      <c r="M45" t="s">
        <v>198</v>
      </c>
      <c r="N45" t="s">
        <v>39</v>
      </c>
      <c r="O45" t="s">
        <v>70</v>
      </c>
      <c r="P45" t="s">
        <v>58</v>
      </c>
      <c r="Q45" t="s">
        <v>199</v>
      </c>
    </row>
    <row r="46" spans="1:17">
      <c r="A46">
        <v>1005</v>
      </c>
      <c r="B46" t="s">
        <v>200</v>
      </c>
      <c r="C46" t="s">
        <v>201</v>
      </c>
      <c r="D46" t="s">
        <v>44</v>
      </c>
      <c r="E46">
        <v>0</v>
      </c>
      <c r="F46" t="s">
        <v>39</v>
      </c>
      <c r="G46">
        <v>30</v>
      </c>
      <c r="H46">
        <v>20</v>
      </c>
      <c r="I46" t="s">
        <v>45</v>
      </c>
      <c r="J46">
        <v>2</v>
      </c>
      <c r="K46">
        <v>4</v>
      </c>
      <c r="L46" t="s">
        <v>39</v>
      </c>
      <c r="M46" t="s">
        <v>202</v>
      </c>
      <c r="N46" t="s">
        <v>39</v>
      </c>
      <c r="O46" t="s">
        <v>142</v>
      </c>
      <c r="P46" t="s">
        <v>203</v>
      </c>
      <c r="Q46" t="s">
        <v>199</v>
      </c>
    </row>
    <row r="47" spans="1:17">
      <c r="A47">
        <v>1010</v>
      </c>
      <c r="B47" t="s">
        <v>204</v>
      </c>
      <c r="C47" t="s">
        <v>205</v>
      </c>
      <c r="D47" t="s">
        <v>44</v>
      </c>
      <c r="E47">
        <v>0</v>
      </c>
      <c r="F47" t="s">
        <v>39</v>
      </c>
      <c r="G47">
        <v>40</v>
      </c>
      <c r="H47">
        <v>35</v>
      </c>
      <c r="I47" t="s">
        <v>45</v>
      </c>
      <c r="J47">
        <v>2</v>
      </c>
      <c r="K47">
        <v>3</v>
      </c>
      <c r="L47" t="s">
        <v>39</v>
      </c>
      <c r="M47" t="s">
        <v>90</v>
      </c>
      <c r="N47" t="s">
        <v>39</v>
      </c>
      <c r="O47" t="s">
        <v>206</v>
      </c>
      <c r="P47" t="s">
        <v>133</v>
      </c>
      <c r="Q47" t="s">
        <v>199</v>
      </c>
    </row>
    <row r="48" spans="1:17">
      <c r="A48">
        <v>2003</v>
      </c>
      <c r="B48" t="s">
        <v>207</v>
      </c>
      <c r="C48" t="s">
        <v>208</v>
      </c>
      <c r="D48" t="s">
        <v>61</v>
      </c>
      <c r="E48">
        <v>0</v>
      </c>
      <c r="F48" t="s">
        <v>39</v>
      </c>
      <c r="G48">
        <v>60</v>
      </c>
      <c r="H48">
        <v>0</v>
      </c>
      <c r="I48" t="s">
        <v>45</v>
      </c>
      <c r="J48">
        <v>0</v>
      </c>
      <c r="K48">
        <v>8</v>
      </c>
      <c r="L48" t="s">
        <v>39</v>
      </c>
      <c r="M48" t="s">
        <v>39</v>
      </c>
      <c r="N48" t="s">
        <v>209</v>
      </c>
      <c r="O48" t="s">
        <v>39</v>
      </c>
      <c r="P48" t="s">
        <v>122</v>
      </c>
      <c r="Q48" t="s">
        <v>199</v>
      </c>
    </row>
    <row r="49" spans="1:17">
      <c r="A49">
        <v>3001</v>
      </c>
      <c r="B49" t="s">
        <v>210</v>
      </c>
      <c r="C49" t="s">
        <v>211</v>
      </c>
      <c r="D49" t="s">
        <v>38</v>
      </c>
      <c r="E49">
        <v>0</v>
      </c>
      <c r="F49" t="s">
        <v>39</v>
      </c>
      <c r="G49">
        <v>0</v>
      </c>
      <c r="H49">
        <v>0</v>
      </c>
      <c r="I49" t="s">
        <v>40</v>
      </c>
      <c r="J49">
        <v>0</v>
      </c>
      <c r="K49">
        <v>0</v>
      </c>
      <c r="L49" t="s">
        <v>39</v>
      </c>
      <c r="M49" t="s">
        <v>46</v>
      </c>
      <c r="N49" t="s">
        <v>39</v>
      </c>
      <c r="O49" t="s">
        <v>39</v>
      </c>
      <c r="P49" t="s">
        <v>67</v>
      </c>
      <c r="Q49" t="s">
        <v>199</v>
      </c>
    </row>
    <row r="50" spans="1:17">
      <c r="A50">
        <v>3006</v>
      </c>
      <c r="B50" t="s">
        <v>212</v>
      </c>
      <c r="C50" t="s">
        <v>213</v>
      </c>
      <c r="D50" t="s">
        <v>38</v>
      </c>
      <c r="E50">
        <v>0</v>
      </c>
      <c r="F50" t="s">
        <v>39</v>
      </c>
      <c r="G50">
        <v>40</v>
      </c>
      <c r="H50">
        <v>0</v>
      </c>
      <c r="I50" t="s">
        <v>40</v>
      </c>
      <c r="J50">
        <v>0</v>
      </c>
      <c r="K50">
        <v>0</v>
      </c>
      <c r="L50" t="s">
        <v>39</v>
      </c>
      <c r="M50" t="s">
        <v>214</v>
      </c>
      <c r="N50" t="s">
        <v>39</v>
      </c>
      <c r="O50" t="s">
        <v>39</v>
      </c>
      <c r="P50" t="s">
        <v>215</v>
      </c>
      <c r="Q50" t="s">
        <v>199</v>
      </c>
    </row>
    <row r="51" spans="1:17">
      <c r="A51">
        <v>1013</v>
      </c>
      <c r="B51" t="s">
        <v>216</v>
      </c>
      <c r="C51" t="s">
        <v>217</v>
      </c>
      <c r="D51" t="s">
        <v>44</v>
      </c>
      <c r="E51">
        <v>0</v>
      </c>
      <c r="F51" t="s">
        <v>39</v>
      </c>
      <c r="G51">
        <v>55</v>
      </c>
      <c r="H51">
        <v>25</v>
      </c>
      <c r="I51" t="s">
        <v>45</v>
      </c>
      <c r="J51">
        <v>2</v>
      </c>
      <c r="K51">
        <v>4</v>
      </c>
      <c r="L51" t="s">
        <v>39</v>
      </c>
      <c r="M51" t="s">
        <v>39</v>
      </c>
      <c r="N51" t="s">
        <v>39</v>
      </c>
      <c r="O51" t="s">
        <v>106</v>
      </c>
      <c r="P51" t="s">
        <v>218</v>
      </c>
      <c r="Q51" t="s">
        <v>199</v>
      </c>
    </row>
    <row r="52" spans="1:17">
      <c r="A52">
        <v>1016</v>
      </c>
      <c r="B52" t="s">
        <v>219</v>
      </c>
      <c r="C52" t="s">
        <v>220</v>
      </c>
      <c r="D52" t="s">
        <v>44</v>
      </c>
      <c r="E52">
        <v>0</v>
      </c>
      <c r="F52" t="s">
        <v>39</v>
      </c>
      <c r="G52">
        <v>45</v>
      </c>
      <c r="H52">
        <v>20</v>
      </c>
      <c r="I52" t="s">
        <v>45</v>
      </c>
      <c r="J52">
        <v>2</v>
      </c>
      <c r="K52">
        <v>4</v>
      </c>
      <c r="L52" t="s">
        <v>39</v>
      </c>
      <c r="M52" t="s">
        <v>39</v>
      </c>
      <c r="N52" t="s">
        <v>221</v>
      </c>
      <c r="O52" t="s">
        <v>39</v>
      </c>
      <c r="P52" t="s">
        <v>222</v>
      </c>
      <c r="Q52" t="s">
        <v>199</v>
      </c>
    </row>
    <row r="53" spans="1:17">
      <c r="A53">
        <v>3010</v>
      </c>
      <c r="B53" t="s">
        <v>223</v>
      </c>
      <c r="C53" t="s">
        <v>224</v>
      </c>
      <c r="D53" t="s">
        <v>38</v>
      </c>
      <c r="E53">
        <v>0</v>
      </c>
      <c r="F53" t="s">
        <v>39</v>
      </c>
      <c r="G53">
        <v>20</v>
      </c>
      <c r="H53">
        <v>0</v>
      </c>
      <c r="I53" t="s">
        <v>45</v>
      </c>
      <c r="J53">
        <v>0</v>
      </c>
      <c r="K53">
        <v>0</v>
      </c>
      <c r="L53" t="s">
        <v>39</v>
      </c>
      <c r="M53" t="s">
        <v>225</v>
      </c>
      <c r="N53" t="s">
        <v>39</v>
      </c>
      <c r="O53" t="s">
        <v>39</v>
      </c>
      <c r="P53" t="s">
        <v>226</v>
      </c>
      <c r="Q53" t="s">
        <v>199</v>
      </c>
    </row>
    <row r="54" spans="1:17">
      <c r="A54">
        <v>3011</v>
      </c>
      <c r="B54" t="s">
        <v>227</v>
      </c>
      <c r="C54" t="s">
        <v>228</v>
      </c>
      <c r="D54" t="s">
        <v>38</v>
      </c>
      <c r="E54">
        <v>0</v>
      </c>
      <c r="F54" t="s">
        <v>39</v>
      </c>
      <c r="G54">
        <v>0</v>
      </c>
      <c r="H54">
        <v>0</v>
      </c>
      <c r="I54" t="s">
        <v>40</v>
      </c>
      <c r="J54">
        <v>0</v>
      </c>
      <c r="K54">
        <v>0</v>
      </c>
      <c r="L54" t="s">
        <v>39</v>
      </c>
      <c r="M54" t="s">
        <v>229</v>
      </c>
      <c r="N54" t="s">
        <v>39</v>
      </c>
      <c r="O54" t="s">
        <v>39</v>
      </c>
      <c r="P54" t="s">
        <v>230</v>
      </c>
      <c r="Q54" t="s">
        <v>199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0"/>
  <sheetViews>
    <sheetView workbookViewId="0">
      <selection activeCell="K28" sqref="K28"/>
    </sheetView>
  </sheetViews>
  <sheetFormatPr defaultColWidth="9" defaultRowHeight="13.5" outlineLevelCol="5"/>
  <cols>
    <col min="1" max="1" width="15.125" customWidth="1"/>
    <col min="2" max="2" width="15.375" customWidth="1"/>
    <col min="3" max="3" width="14.5" customWidth="1"/>
    <col min="4" max="4" width="13.75" style="3" customWidth="1"/>
    <col min="5" max="5" width="12.125" customWidth="1"/>
  </cols>
  <sheetData>
    <row r="1" s="1" customFormat="1" spans="1:6">
      <c r="A1" s="1" t="s">
        <v>231</v>
      </c>
      <c r="B1" s="1" t="s">
        <v>232</v>
      </c>
      <c r="C1" s="1" t="s">
        <v>233</v>
      </c>
      <c r="D1" s="4" t="s">
        <v>234</v>
      </c>
      <c r="E1" s="5" t="s">
        <v>1</v>
      </c>
      <c r="F1" s="5" t="s">
        <v>235</v>
      </c>
    </row>
    <row r="2" s="2" customFormat="1" spans="1:6">
      <c r="A2" s="2" t="s">
        <v>236</v>
      </c>
      <c r="B2" s="2" t="s">
        <v>17</v>
      </c>
      <c r="C2" s="2" t="s">
        <v>237</v>
      </c>
      <c r="D2" s="6"/>
      <c r="E2" s="6"/>
      <c r="F2" s="6"/>
    </row>
    <row r="3" s="2" customFormat="1" spans="1:6">
      <c r="A3" s="2" t="s">
        <v>33</v>
      </c>
      <c r="B3" s="2" t="s">
        <v>33</v>
      </c>
      <c r="C3" s="2" t="s">
        <v>33</v>
      </c>
      <c r="D3" s="7"/>
      <c r="E3" s="7"/>
      <c r="F3" s="7"/>
    </row>
    <row r="4" spans="1:6">
      <c r="A4" s="8">
        <v>0</v>
      </c>
      <c r="B4" s="8">
        <v>1002</v>
      </c>
      <c r="C4" s="8">
        <v>1</v>
      </c>
      <c r="D4" s="8"/>
      <c r="E4" s="8" t="str">
        <f>_xlfn.XLOOKUP(B4,CardData!A:A,CardData!B:B,"")</f>
        <v>白领</v>
      </c>
      <c r="F4" s="8">
        <f>_xlfn.XLOOKUP(B4,CardData!$A:$A,CardData!E:E,"None")</f>
        <v>1</v>
      </c>
    </row>
    <row r="5" spans="1:6">
      <c r="A5" s="8">
        <v>0</v>
      </c>
      <c r="B5" s="8">
        <v>1004</v>
      </c>
      <c r="C5" s="8">
        <v>1</v>
      </c>
      <c r="D5" s="8"/>
      <c r="E5" s="8" t="str">
        <f>_xlfn.XLOOKUP(B5,CardData!A:A,CardData!B:B,"")</f>
        <v>高级教师</v>
      </c>
      <c r="F5" s="8">
        <f>_xlfn.XLOOKUP(B5,CardData!$A:$A,CardData!E:E,"None")</f>
        <v>1</v>
      </c>
    </row>
    <row r="6" spans="1:6">
      <c r="A6" s="8">
        <v>0</v>
      </c>
      <c r="B6" s="8">
        <v>1008</v>
      </c>
      <c r="C6" s="8">
        <v>1</v>
      </c>
      <c r="D6" s="8"/>
      <c r="E6" s="8" t="str">
        <f>_xlfn.XLOOKUP(B6,CardData!A:A,CardData!B:B,"")</f>
        <v>厨师</v>
      </c>
      <c r="F6" s="8">
        <f>_xlfn.XLOOKUP(B6,CardData!$A:$A,CardData!E:E,"None")</f>
        <v>1</v>
      </c>
    </row>
    <row r="7" spans="1:6">
      <c r="A7" s="8">
        <v>0</v>
      </c>
      <c r="B7" s="8">
        <v>1009</v>
      </c>
      <c r="C7" s="8">
        <v>1</v>
      </c>
      <c r="D7" s="8"/>
      <c r="E7" s="8" t="str">
        <f>_xlfn.XLOOKUP(B7,CardData!A:A,CardData!B:B,"")</f>
        <v>画家</v>
      </c>
      <c r="F7" s="8">
        <f>_xlfn.XLOOKUP(B7,CardData!$A:$A,CardData!E:E,"None")</f>
        <v>1</v>
      </c>
    </row>
    <row r="8" spans="1:6">
      <c r="A8" s="8">
        <v>0</v>
      </c>
      <c r="B8" s="8">
        <v>2001</v>
      </c>
      <c r="C8" s="8">
        <v>1</v>
      </c>
      <c r="D8" s="8"/>
      <c r="E8" s="8" t="str">
        <f>_xlfn.XLOOKUP(B8,CardData!A:A,CardData!B:B,"")</f>
        <v>空调</v>
      </c>
      <c r="F8" s="8">
        <f>_xlfn.XLOOKUP(B8,CardData!$A:$A,CardData!E:E,"None")</f>
        <v>1</v>
      </c>
    </row>
    <row r="9" spans="1:6">
      <c r="A9" s="8">
        <v>0</v>
      </c>
      <c r="B9" s="8">
        <v>2004</v>
      </c>
      <c r="C9" s="8">
        <v>1</v>
      </c>
      <c r="D9" s="8"/>
      <c r="E9" s="8" t="str">
        <f>_xlfn.XLOOKUP(B9,CardData!A:A,CardData!B:B,"")</f>
        <v>WiFi路由器</v>
      </c>
      <c r="F9" s="8">
        <f>_xlfn.XLOOKUP(B9,CardData!$A:$A,CardData!E:E,"None")</f>
        <v>1</v>
      </c>
    </row>
    <row r="10" spans="1:6">
      <c r="A10" s="8">
        <v>0</v>
      </c>
      <c r="B10" s="8">
        <v>2005</v>
      </c>
      <c r="C10" s="8">
        <v>1</v>
      </c>
      <c r="D10" s="8"/>
      <c r="E10" s="8" t="str">
        <f>_xlfn.XLOOKUP(B10,CardData!A:A,CardData!B:B,"")</f>
        <v>洗衣机</v>
      </c>
      <c r="F10" s="8">
        <f>_xlfn.XLOOKUP(B10,CardData!$A:$A,CardData!E:E,"None")</f>
        <v>1</v>
      </c>
    </row>
    <row r="11" spans="1:6">
      <c r="A11" s="8">
        <v>0</v>
      </c>
      <c r="B11" s="8">
        <v>3002</v>
      </c>
      <c r="C11" s="8">
        <v>1</v>
      </c>
      <c r="D11" s="8"/>
      <c r="E11" s="8" t="str">
        <f>_xlfn.XLOOKUP(B11,CardData!A:A,CardData!B:B,"")</f>
        <v>经纪人介绍</v>
      </c>
      <c r="F11" s="8">
        <f>_xlfn.XLOOKUP(B11,CardData!$A:$A,CardData!E:E,"None")</f>
        <v>1</v>
      </c>
    </row>
    <row r="12" spans="1:6">
      <c r="A12" s="8">
        <v>0</v>
      </c>
      <c r="B12" s="8">
        <v>3003</v>
      </c>
      <c r="C12" s="8">
        <v>1</v>
      </c>
      <c r="D12" s="8"/>
      <c r="E12" s="8" t="str">
        <f>_xlfn.XLOOKUP(B12,CardData!A:A,CardData!B:B,"")</f>
        <v>续签</v>
      </c>
      <c r="F12" s="8">
        <f>_xlfn.XLOOKUP(B12,CardData!$A:$A,CardData!E:E,"None")</f>
        <v>1</v>
      </c>
    </row>
    <row r="13" spans="1:6">
      <c r="A13" s="8">
        <v>0</v>
      </c>
      <c r="B13" s="8">
        <v>3004</v>
      </c>
      <c r="C13" s="8">
        <v>1</v>
      </c>
      <c r="D13" s="8"/>
      <c r="E13" s="8" t="str">
        <f>_xlfn.XLOOKUP(B13,CardData!A:A,CardData!B:B,"")</f>
        <v>维修</v>
      </c>
      <c r="F13" s="8">
        <f>_xlfn.XLOOKUP(B13,CardData!$A:$A,CardData!E:E,"None")</f>
        <v>1</v>
      </c>
    </row>
    <row r="14" spans="1:6">
      <c r="A14" s="8">
        <v>0</v>
      </c>
      <c r="B14" s="8">
        <v>1011</v>
      </c>
      <c r="C14" s="8">
        <v>1</v>
      </c>
      <c r="D14" s="8"/>
      <c r="E14" s="8" t="str">
        <f>_xlfn.XLOOKUP(B14,CardData!A:A,CardData!B:B,"")</f>
        <v>工会文员</v>
      </c>
      <c r="F14" s="8">
        <f>_xlfn.XLOOKUP(B14,CardData!$A:$A,CardData!E:E,"None")</f>
        <v>1</v>
      </c>
    </row>
    <row r="15" spans="1:6">
      <c r="A15" s="8">
        <v>0</v>
      </c>
      <c r="B15" s="8">
        <v>2006</v>
      </c>
      <c r="C15" s="8">
        <v>1</v>
      </c>
      <c r="D15" s="8"/>
      <c r="E15" s="8" t="str">
        <f>_xlfn.XLOOKUP(B15,CardData!A:A,CardData!B:B,"")</f>
        <v>租赁账本</v>
      </c>
      <c r="F15" s="8">
        <f>_xlfn.XLOOKUP(B15,CardData!$A:$A,CardData!E:E,"None")</f>
        <v>1</v>
      </c>
    </row>
    <row r="16" spans="1:6">
      <c r="A16" s="8">
        <v>0</v>
      </c>
      <c r="B16" s="8">
        <v>4001</v>
      </c>
      <c r="C16" s="8">
        <v>1</v>
      </c>
      <c r="D16" s="8"/>
      <c r="E16" s="8" t="str">
        <f>_xlfn.XLOOKUP(B16,CardData!A:A,CardData!B:B,"")</f>
        <v>长期租约</v>
      </c>
      <c r="F16" s="8">
        <f>_xlfn.XLOOKUP(B16,CardData!$A:$A,CardData!E:E,"None")</f>
        <v>1</v>
      </c>
    </row>
    <row r="17" spans="1:6">
      <c r="A17" s="8">
        <v>0</v>
      </c>
      <c r="B17" s="8">
        <v>1014</v>
      </c>
      <c r="C17" s="8">
        <v>1</v>
      </c>
      <c r="D17" s="8"/>
      <c r="E17" s="8" t="str">
        <f>_xlfn.XLOOKUP(B17,CardData!A:A,CardData!B:B,"")</f>
        <v>夜骑手</v>
      </c>
      <c r="F17" s="8">
        <f>_xlfn.XLOOKUP(B17,CardData!$A:$A,CardData!E:E,"None")</f>
        <v>1</v>
      </c>
    </row>
    <row r="18" spans="1:6">
      <c r="A18" s="8">
        <v>0</v>
      </c>
      <c r="B18" s="8">
        <v>2007</v>
      </c>
      <c r="C18" s="8">
        <v>1</v>
      </c>
      <c r="D18" s="8"/>
      <c r="E18" s="8" t="str">
        <f>_xlfn.XLOOKUP(B18,CardData!A:A,CardData!B:B,"")</f>
        <v>清仓招牌</v>
      </c>
      <c r="F18" s="8">
        <f>_xlfn.XLOOKUP(B18,CardData!$A:$A,CardData!E:E,"None")</f>
        <v>1</v>
      </c>
    </row>
    <row r="19" spans="1:6">
      <c r="A19" s="8">
        <v>0</v>
      </c>
      <c r="B19" s="8">
        <v>3007</v>
      </c>
      <c r="C19" s="8">
        <v>1</v>
      </c>
      <c r="D19" s="8"/>
      <c r="E19" s="8" t="str">
        <f>_xlfn.XLOOKUP(B19,CardData!A:A,CardData!B:B,"")</f>
        <v>招聘电话</v>
      </c>
      <c r="F19" s="8">
        <f>_xlfn.XLOOKUP(B19,CardData!$A:$A,CardData!E:E,"None")</f>
        <v>1</v>
      </c>
    </row>
    <row r="20" spans="1:6">
      <c r="A20" s="8">
        <v>0</v>
      </c>
      <c r="B20" s="8">
        <v>3008</v>
      </c>
      <c r="C20" s="8">
        <v>1</v>
      </c>
      <c r="D20" s="8"/>
      <c r="E20" s="8" t="str">
        <f>_xlfn.XLOOKUP(B20,CardData!A:A,CardData!B:B,"")</f>
        <v>搬迁令</v>
      </c>
      <c r="F20" s="8">
        <f>_xlfn.XLOOKUP(B20,CardData!$A:$A,CardData!E:E,"None")</f>
        <v>1</v>
      </c>
    </row>
    <row r="21" spans="1:6">
      <c r="A21" s="8">
        <v>0</v>
      </c>
      <c r="B21" s="8">
        <v>1015</v>
      </c>
      <c r="C21" s="8">
        <v>1</v>
      </c>
      <c r="D21" s="8"/>
      <c r="E21" s="8" t="str">
        <f>_xlfn.XLOOKUP(B21,CardData!A:A,CardData!B:B,"")</f>
        <v>万能工</v>
      </c>
      <c r="F21" s="8">
        <f>_xlfn.XLOOKUP(B21,CardData!$A:$A,CardData!E:E,"None")</f>
        <v>1</v>
      </c>
    </row>
    <row r="22" spans="1:6">
      <c r="A22" s="8">
        <v>0</v>
      </c>
      <c r="B22" s="8">
        <v>2008</v>
      </c>
      <c r="C22" s="8">
        <v>1</v>
      </c>
      <c r="D22" s="8"/>
      <c r="E22" s="8" t="str">
        <f>_xlfn.XLOOKUP(B22,CardData!A:A,CardData!B:B,"")</f>
        <v>额外书架</v>
      </c>
      <c r="F22" s="8">
        <f>_xlfn.XLOOKUP(B22,CardData!$A:$A,CardData!E:E,"None")</f>
        <v>1</v>
      </c>
    </row>
    <row r="23" spans="1:6">
      <c r="A23" s="8">
        <v>0</v>
      </c>
      <c r="B23" s="8">
        <v>2009</v>
      </c>
      <c r="C23" s="8">
        <v>1</v>
      </c>
      <c r="D23" s="8"/>
      <c r="E23" s="8" t="str">
        <f>_xlfn.XLOOKUP(B23,CardData!A:A,CardData!B:B,"")</f>
        <v>电源插座</v>
      </c>
      <c r="F23" s="8">
        <f>_xlfn.XLOOKUP(B23,CardData!$A:$A,CardData!E:E,"None")</f>
        <v>1</v>
      </c>
    </row>
    <row r="24" spans="1:6">
      <c r="A24" s="8">
        <v>0</v>
      </c>
      <c r="B24" s="8">
        <v>3009</v>
      </c>
      <c r="C24" s="8">
        <v>1</v>
      </c>
      <c r="D24" s="8"/>
      <c r="E24" s="8" t="str">
        <f>_xlfn.XLOOKUP(B24,CardData!A:A,CardData!B:B,"")</f>
        <v>维修队</v>
      </c>
      <c r="F24" s="8">
        <f>_xlfn.XLOOKUP(B24,CardData!$A:$A,CardData!E:E,"None")</f>
        <v>1</v>
      </c>
    </row>
    <row r="25" spans="1:6">
      <c r="A25" s="8">
        <v>0</v>
      </c>
      <c r="B25" s="8">
        <v>2011</v>
      </c>
      <c r="C25" s="8">
        <v>1</v>
      </c>
      <c r="D25" s="8"/>
      <c r="E25" s="8" t="str">
        <f>_xlfn.XLOOKUP(B25,CardData!A:A,CardData!B:B,"")</f>
        <v>开放屋标志</v>
      </c>
      <c r="F25" s="8">
        <f>_xlfn.XLOOKUP(B25,CardData!$A:$A,CardData!E:E,"None")</f>
        <v>1</v>
      </c>
    </row>
    <row r="26" spans="1:6">
      <c r="A26" s="8">
        <v>0</v>
      </c>
      <c r="B26" s="8">
        <v>4002</v>
      </c>
      <c r="C26" s="8">
        <v>1</v>
      </c>
      <c r="D26" s="8"/>
      <c r="E26" s="8" t="str">
        <f>_xlfn.XLOOKUP(B26,CardData!A:A,CardData!B:B,"")</f>
        <v>空房条款</v>
      </c>
      <c r="F26" s="8">
        <f>_xlfn.XLOOKUP(B26,CardData!$A:$A,CardData!E:E,"None")</f>
        <v>1</v>
      </c>
    </row>
    <row r="27" spans="1:6">
      <c r="A27" s="8">
        <v>0</v>
      </c>
      <c r="B27" s="8">
        <v>1017</v>
      </c>
      <c r="C27" s="8">
        <v>1</v>
      </c>
      <c r="D27" s="8"/>
      <c r="E27" s="8" t="str">
        <f>_xlfn.XLOOKUP(B27,CardData!A:A,CardData!B:B,"")</f>
        <v>楼层规划师</v>
      </c>
      <c r="F27" s="8">
        <f>_xlfn.XLOOKUP(B27,CardData!$A:$A,CardData!E:E,"None")</f>
        <v>1</v>
      </c>
    </row>
    <row r="28" spans="1:6">
      <c r="A28" s="8">
        <v>0</v>
      </c>
      <c r="B28" s="8">
        <v>3012</v>
      </c>
      <c r="C28" s="8">
        <v>1</v>
      </c>
      <c r="D28" s="8"/>
      <c r="E28" s="8" t="str">
        <f>_xlfn.XLOOKUP(B28,CardData!A:A,CardData!B:B,"")</f>
        <v>施工许可</v>
      </c>
      <c r="F28" s="8">
        <f>_xlfn.XLOOKUP(B28,CardData!$A:$A,CardData!E:E,"None")</f>
        <v>1</v>
      </c>
    </row>
    <row r="29" spans="1:6">
      <c r="A29" s="8">
        <v>0</v>
      </c>
      <c r="B29" s="8">
        <v>1019</v>
      </c>
      <c r="C29" s="8">
        <v>1</v>
      </c>
      <c r="D29" s="8"/>
      <c r="E29" s="8" t="str">
        <f>_xlfn.XLOOKUP(B29,CardData!A:A,CardData!B:B,"")</f>
        <v>夜间审计员</v>
      </c>
      <c r="F29" s="8">
        <f>_xlfn.XLOOKUP(B29,CardData!$A:$A,CardData!E:E,"None")</f>
        <v>1</v>
      </c>
    </row>
    <row r="30" spans="1:6">
      <c r="A30" s="8">
        <v>0</v>
      </c>
      <c r="B30" s="8">
        <v>3013</v>
      </c>
      <c r="C30" s="8">
        <v>1</v>
      </c>
      <c r="D30" s="8"/>
      <c r="E30" s="8" t="str">
        <f>_xlfn.XLOOKUP(B30,CardData!A:A,CardData!B:B,"")</f>
        <v>快速结算</v>
      </c>
      <c r="F30" s="8">
        <f>_xlfn.XLOOKUP(B30,CardData!$A:$A,CardData!E:E,"None")</f>
        <v>1</v>
      </c>
    </row>
    <row r="31" spans="1:6">
      <c r="A31" s="8">
        <v>0</v>
      </c>
      <c r="B31" s="8">
        <v>1001</v>
      </c>
      <c r="C31" s="8">
        <v>1</v>
      </c>
      <c r="D31" s="8"/>
      <c r="E31" s="8" t="str">
        <f>_xlfn.XLOOKUP(B31,CardData!A:A,CardData!B:B,"")</f>
        <v>工人</v>
      </c>
      <c r="F31" s="8">
        <f>_xlfn.XLOOKUP(B31,CardData!$A:$A,CardData!E:E,"None")</f>
        <v>0</v>
      </c>
    </row>
    <row r="32" spans="1:6">
      <c r="A32" s="8">
        <v>0</v>
      </c>
      <c r="B32" s="8">
        <v>1005</v>
      </c>
      <c r="C32" s="8">
        <v>1</v>
      </c>
      <c r="D32" s="8"/>
      <c r="E32" s="8" t="str">
        <f>_xlfn.XLOOKUP(B32,CardData!A:A,CardData!B:B,"")</f>
        <v>学生</v>
      </c>
      <c r="F32" s="8">
        <f>_xlfn.XLOOKUP(B32,CardData!$A:$A,CardData!E:E,"None")</f>
        <v>0</v>
      </c>
    </row>
    <row r="33" spans="1:6">
      <c r="A33" s="8">
        <v>0</v>
      </c>
      <c r="B33" s="8">
        <v>1010</v>
      </c>
      <c r="C33" s="8">
        <v>1</v>
      </c>
      <c r="D33" s="8"/>
      <c r="E33" s="8" t="str">
        <f>_xlfn.XLOOKUP(B33,CardData!A:A,CardData!B:B,"")</f>
        <v>快递员</v>
      </c>
      <c r="F33" s="8">
        <f>_xlfn.XLOOKUP(B33,CardData!$A:$A,CardData!E:E,"None")</f>
        <v>0</v>
      </c>
    </row>
    <row r="34" spans="1:6">
      <c r="A34" s="8">
        <v>0</v>
      </c>
      <c r="B34" s="8">
        <v>2003</v>
      </c>
      <c r="C34" s="8">
        <v>1</v>
      </c>
      <c r="D34" s="8"/>
      <c r="E34" s="8" t="str">
        <f>_xlfn.XLOOKUP(B34,CardData!A:A,CardData!B:B,"")</f>
        <v>热水器</v>
      </c>
      <c r="F34" s="8">
        <f>_xlfn.XLOOKUP(B34,CardData!$A:$A,CardData!E:E,"None")</f>
        <v>0</v>
      </c>
    </row>
    <row r="35" spans="1:6">
      <c r="A35" s="8">
        <v>0</v>
      </c>
      <c r="B35" s="8">
        <v>3001</v>
      </c>
      <c r="C35" s="8">
        <v>1</v>
      </c>
      <c r="D35" s="8"/>
      <c r="E35" s="8" t="str">
        <f>_xlfn.XLOOKUP(B35,CardData!A:A,CardData!B:B,"")</f>
        <v>租金奖励</v>
      </c>
      <c r="F35" s="8">
        <f>_xlfn.XLOOKUP(B35,CardData!$A:$A,CardData!E:E,"None")</f>
        <v>0</v>
      </c>
    </row>
    <row r="36" spans="1:6">
      <c r="A36" s="8">
        <v>0</v>
      </c>
      <c r="B36" s="8">
        <v>3006</v>
      </c>
      <c r="C36" s="8">
        <v>1</v>
      </c>
      <c r="D36" s="8"/>
      <c r="E36" s="8" t="str">
        <f>_xlfn.XLOOKUP(B36,CardData!A:A,CardData!B:B,"")</f>
        <v>催租单</v>
      </c>
      <c r="F36" s="8">
        <f>_xlfn.XLOOKUP(B36,CardData!$A:$A,CardData!E:E,"None")</f>
        <v>0</v>
      </c>
    </row>
    <row r="37" spans="1:6">
      <c r="A37" s="8">
        <v>0</v>
      </c>
      <c r="B37" s="8">
        <v>1013</v>
      </c>
      <c r="C37" s="8">
        <v>1</v>
      </c>
      <c r="D37" s="8"/>
      <c r="E37" s="8" t="str">
        <f>_xlfn.XLOOKUP(B37,CardData!A:A,CardData!B:B,"")</f>
        <v>临时工</v>
      </c>
      <c r="F37" s="8">
        <f>_xlfn.XLOOKUP(B37,CardData!$A:$A,CardData!E:E,"None")</f>
        <v>0</v>
      </c>
    </row>
    <row r="38" spans="1:6">
      <c r="A38" s="8">
        <v>0</v>
      </c>
      <c r="B38" s="8">
        <v>1016</v>
      </c>
      <c r="C38" s="8">
        <v>1</v>
      </c>
      <c r="D38" s="8"/>
      <c r="E38" s="8" t="str">
        <f>_xlfn.XLOOKUP(B38,CardData!A:A,CardData!B:B,"")</f>
        <v>转租户</v>
      </c>
      <c r="F38" s="8">
        <f>_xlfn.XLOOKUP(B38,CardData!$A:$A,CardData!E:E,"None")</f>
        <v>0</v>
      </c>
    </row>
    <row r="39" spans="1:6">
      <c r="A39" s="8">
        <v>0</v>
      </c>
      <c r="B39" s="8">
        <v>3010</v>
      </c>
      <c r="C39" s="8">
        <v>1</v>
      </c>
      <c r="D39" s="8"/>
      <c r="E39" s="8" t="str">
        <f>_xlfn.XLOOKUP(B39,CardData!A:A,CardData!B:B,"")</f>
        <v>空房清单</v>
      </c>
      <c r="F39" s="8">
        <f>_xlfn.XLOOKUP(B39,CardData!$A:$A,CardData!E:E,"None")</f>
        <v>0</v>
      </c>
    </row>
    <row r="40" spans="1:6">
      <c r="A40" s="8">
        <v>0</v>
      </c>
      <c r="B40" s="8">
        <v>3011</v>
      </c>
      <c r="C40" s="8">
        <v>1</v>
      </c>
      <c r="D40" s="8"/>
      <c r="E40" s="8" t="str">
        <f>_xlfn.XLOOKUP(B40,CardData!A:A,CardData!B:B,"")</f>
        <v>折扣传单</v>
      </c>
      <c r="F40" s="8">
        <f>_xlfn.XLOOKUP(B40,CardData!$A:$A,CardData!E:E,"None")</f>
        <v>0</v>
      </c>
    </row>
    <row r="41" spans="1:6">
      <c r="A41" s="9">
        <v>1</v>
      </c>
      <c r="B41" s="9">
        <v>1003</v>
      </c>
      <c r="C41" s="9">
        <v>1</v>
      </c>
      <c r="D41" s="9"/>
      <c r="E41" s="9" t="str">
        <f>_xlfn.XLOOKUP(B41,CardData!A:A,CardData!B:B,"")</f>
        <v>程序员</v>
      </c>
      <c r="F41" s="9">
        <f>_xlfn.XLOOKUP(B41,CardData!$A:$A,CardData!E:E,"None")</f>
        <v>2</v>
      </c>
    </row>
    <row r="42" spans="1:6">
      <c r="A42" s="9">
        <v>1</v>
      </c>
      <c r="B42" s="9">
        <v>1006</v>
      </c>
      <c r="C42" s="9">
        <v>1</v>
      </c>
      <c r="D42" s="9"/>
      <c r="E42" s="9" t="str">
        <f>_xlfn.XLOOKUP(B42,CardData!A:A,CardData!B:B,"")</f>
        <v>主播</v>
      </c>
      <c r="F42" s="9">
        <f>_xlfn.XLOOKUP(B42,CardData!$A:$A,CardData!E:E,"None")</f>
        <v>2</v>
      </c>
    </row>
    <row r="43" spans="1:6">
      <c r="A43" s="9">
        <v>1</v>
      </c>
      <c r="B43" s="9">
        <v>1007</v>
      </c>
      <c r="C43" s="9">
        <v>1</v>
      </c>
      <c r="D43" s="9"/>
      <c r="E43" s="9" t="str">
        <f>_xlfn.XLOOKUP(B43,CardData!A:A,CardData!B:B,"")</f>
        <v>医生</v>
      </c>
      <c r="F43" s="9">
        <f>_xlfn.XLOOKUP(B43,CardData!$A:$A,CardData!E:E,"None")</f>
        <v>2</v>
      </c>
    </row>
    <row r="44" spans="1:6">
      <c r="A44" s="9">
        <v>1</v>
      </c>
      <c r="B44" s="9">
        <v>2002</v>
      </c>
      <c r="C44" s="9">
        <v>1</v>
      </c>
      <c r="D44" s="9"/>
      <c r="E44" s="9" t="str">
        <f>_xlfn.XLOOKUP(B44,CardData!A:A,CardData!B:B,"")</f>
        <v>双层床</v>
      </c>
      <c r="F44" s="9">
        <f>_xlfn.XLOOKUP(B44,CardData!$A:$A,CardData!E:E,"None")</f>
        <v>2</v>
      </c>
    </row>
    <row r="45" spans="1:6">
      <c r="A45" s="9">
        <v>1</v>
      </c>
      <c r="B45" s="9">
        <v>3005</v>
      </c>
      <c r="C45" s="9">
        <v>1</v>
      </c>
      <c r="D45" s="9"/>
      <c r="E45" s="9" t="str">
        <f>_xlfn.XLOOKUP(B45,CardData!A:A,CardData!B:B,"")</f>
        <v>应急贷款</v>
      </c>
      <c r="F45" s="9">
        <f>_xlfn.XLOOKUP(B45,CardData!$A:$A,CardData!E:E,"None")</f>
        <v>2</v>
      </c>
    </row>
    <row r="46" spans="1:6">
      <c r="A46" s="9">
        <v>1</v>
      </c>
      <c r="B46" s="9">
        <v>1012</v>
      </c>
      <c r="C46" s="9">
        <v>1</v>
      </c>
      <c r="D46" s="9"/>
      <c r="E46" s="9" t="str">
        <f>_xlfn.XLOOKUP(B46,CardData!A:A,CardData!B:B,"")</f>
        <v>夜班护士</v>
      </c>
      <c r="F46" s="9">
        <f>_xlfn.XLOOKUP(B46,CardData!$A:$A,CardData!E:E,"None")</f>
        <v>2</v>
      </c>
    </row>
    <row r="47" spans="1:6">
      <c r="A47" s="9">
        <v>1</v>
      </c>
      <c r="B47" s="9">
        <v>2010</v>
      </c>
      <c r="C47" s="9">
        <v>1</v>
      </c>
      <c r="D47" s="9"/>
      <c r="E47" s="9" t="str">
        <f>_xlfn.XLOOKUP(B47,CardData!A:A,CardData!B:B,"")</f>
        <v>洗衣堆</v>
      </c>
      <c r="F47" s="9">
        <f>_xlfn.XLOOKUP(B47,CardData!$A:$A,CardData!E:E,"None")</f>
        <v>2</v>
      </c>
    </row>
    <row r="48" spans="1:6">
      <c r="A48" s="9">
        <v>1</v>
      </c>
      <c r="B48" s="9">
        <v>1018</v>
      </c>
      <c r="C48" s="9">
        <v>1</v>
      </c>
      <c r="D48" s="9"/>
      <c r="E48" s="9" t="str">
        <f>_xlfn.XLOOKUP(B48,CardData!A:A,CardData!B:B,"")</f>
        <v>装修负责人</v>
      </c>
      <c r="F48" s="9">
        <f>_xlfn.XLOOKUP(B48,CardData!$A:$A,CardData!E:E,"None")</f>
        <v>2</v>
      </c>
    </row>
    <row r="49" spans="1:6">
      <c r="A49" s="9">
        <v>1</v>
      </c>
      <c r="B49" s="9">
        <v>2012</v>
      </c>
      <c r="C49" s="9">
        <v>1</v>
      </c>
      <c r="D49" s="9"/>
      <c r="E49" s="9" t="str">
        <f>_xlfn.XLOOKUP(B49,CardData!A:A,CardData!B:B,"")</f>
        <v>隔断墙</v>
      </c>
      <c r="F49" s="9">
        <f>_xlfn.XLOOKUP(B49,CardData!$A:$A,CardData!E:E,"None")</f>
        <v>2</v>
      </c>
    </row>
    <row r="50" spans="1:6">
      <c r="A50" s="9">
        <v>1</v>
      </c>
      <c r="B50" s="9">
        <v>4003</v>
      </c>
      <c r="C50" s="9">
        <v>1</v>
      </c>
      <c r="D50" s="9"/>
      <c r="E50" s="9" t="str">
        <f>_xlfn.XLOOKUP(B50,CardData!A:A,CardData!B:B,"")</f>
        <v>蓝图交易</v>
      </c>
      <c r="F50" s="9">
        <f>_xlfn.XLOOKUP(B50,CardData!$A:$A,CardData!E:E,"None")</f>
        <v>2</v>
      </c>
    </row>
    <row r="51" spans="1:6">
      <c r="A51" s="9">
        <v>1</v>
      </c>
      <c r="B51" s="9">
        <v>1020</v>
      </c>
      <c r="C51" s="9">
        <v>1</v>
      </c>
      <c r="D51" s="9"/>
      <c r="E51" s="9" t="str">
        <f>_xlfn.XLOOKUP(B51,CardData!A:A,CardData!B:B,"")</f>
        <v>闪电经纪人</v>
      </c>
      <c r="F51" s="9">
        <f>_xlfn.XLOOKUP(B51,CardData!$A:$A,CardData!E:E,"None")</f>
        <v>2</v>
      </c>
    </row>
    <row r="52" spans="1:6">
      <c r="A52" s="9">
        <v>1</v>
      </c>
      <c r="B52" s="9">
        <v>2013</v>
      </c>
      <c r="C52" s="9">
        <v>1</v>
      </c>
      <c r="D52" s="9"/>
      <c r="E52" s="9" t="str">
        <f>_xlfn.XLOOKUP(B52,CardData!A:A,CardData!B:B,"")</f>
        <v>涡轮计价表</v>
      </c>
      <c r="F52" s="9">
        <f>_xlfn.XLOOKUP(B52,CardData!$A:$A,CardData!E:E,"None")</f>
        <v>2</v>
      </c>
    </row>
    <row r="53" spans="1:6">
      <c r="A53" s="9">
        <v>1</v>
      </c>
      <c r="B53" s="9">
        <v>4004</v>
      </c>
      <c r="C53" s="9">
        <v>1</v>
      </c>
      <c r="D53" s="9"/>
      <c r="E53" s="9" t="str">
        <f>_xlfn.XLOOKUP(B53,CardData!A:A,CardData!B:B,"")</f>
        <v>最终对账</v>
      </c>
      <c r="F53" s="9">
        <f>_xlfn.XLOOKUP(B53,CardData!$A:$A,CardData!E:E,"None")</f>
        <v>2</v>
      </c>
    </row>
    <row r="54" spans="1:6">
      <c r="A54" s="9">
        <v>1</v>
      </c>
      <c r="B54" s="9">
        <v>1002</v>
      </c>
      <c r="C54" s="9">
        <v>1</v>
      </c>
      <c r="D54" s="9"/>
      <c r="E54" s="9" t="str">
        <f>_xlfn.XLOOKUP(B54,CardData!A:A,CardData!B:B,"")</f>
        <v>白领</v>
      </c>
      <c r="F54" s="9">
        <f>_xlfn.XLOOKUP(B54,CardData!$A:$A,CardData!E:E,"None")</f>
        <v>1</v>
      </c>
    </row>
    <row r="55" spans="1:6">
      <c r="A55" s="9">
        <v>1</v>
      </c>
      <c r="B55" s="9">
        <v>1004</v>
      </c>
      <c r="C55" s="9">
        <v>1</v>
      </c>
      <c r="D55" s="9"/>
      <c r="E55" s="9" t="str">
        <f>_xlfn.XLOOKUP(B55,CardData!A:A,CardData!B:B,"")</f>
        <v>高级教师</v>
      </c>
      <c r="F55" s="9">
        <f>_xlfn.XLOOKUP(B55,CardData!$A:$A,CardData!E:E,"None")</f>
        <v>1</v>
      </c>
    </row>
    <row r="56" spans="1:6">
      <c r="A56" s="9">
        <v>1</v>
      </c>
      <c r="B56" s="9">
        <v>1008</v>
      </c>
      <c r="C56" s="9">
        <v>1</v>
      </c>
      <c r="D56" s="9"/>
      <c r="E56" s="9" t="str">
        <f>_xlfn.XLOOKUP(B56,CardData!A:A,CardData!B:B,"")</f>
        <v>厨师</v>
      </c>
      <c r="F56" s="9">
        <f>_xlfn.XLOOKUP(B56,CardData!$A:$A,CardData!E:E,"None")</f>
        <v>1</v>
      </c>
    </row>
    <row r="57" spans="1:6">
      <c r="A57" s="9">
        <v>1</v>
      </c>
      <c r="B57" s="9">
        <v>1009</v>
      </c>
      <c r="C57" s="9">
        <v>1</v>
      </c>
      <c r="D57" s="9"/>
      <c r="E57" s="9" t="str">
        <f>_xlfn.XLOOKUP(B57,CardData!A:A,CardData!B:B,"")</f>
        <v>画家</v>
      </c>
      <c r="F57" s="9">
        <f>_xlfn.XLOOKUP(B57,CardData!$A:$A,CardData!E:E,"None")</f>
        <v>1</v>
      </c>
    </row>
    <row r="58" spans="1:6">
      <c r="A58" s="9">
        <v>1</v>
      </c>
      <c r="B58" s="9">
        <v>2001</v>
      </c>
      <c r="C58" s="9">
        <v>1</v>
      </c>
      <c r="D58" s="9"/>
      <c r="E58" s="9" t="str">
        <f>_xlfn.XLOOKUP(B58,CardData!A:A,CardData!B:B,"")</f>
        <v>空调</v>
      </c>
      <c r="F58" s="9">
        <f>_xlfn.XLOOKUP(B58,CardData!$A:$A,CardData!E:E,"None")</f>
        <v>1</v>
      </c>
    </row>
    <row r="59" spans="1:6">
      <c r="A59" s="9">
        <v>1</v>
      </c>
      <c r="B59" s="9">
        <v>2004</v>
      </c>
      <c r="C59" s="9">
        <v>1</v>
      </c>
      <c r="D59" s="9"/>
      <c r="E59" s="9" t="str">
        <f>_xlfn.XLOOKUP(B59,CardData!A:A,CardData!B:B,"")</f>
        <v>WiFi路由器</v>
      </c>
      <c r="F59" s="9">
        <f>_xlfn.XLOOKUP(B59,CardData!$A:$A,CardData!E:E,"None")</f>
        <v>1</v>
      </c>
    </row>
    <row r="60" spans="1:6">
      <c r="A60" s="9">
        <v>1</v>
      </c>
      <c r="B60" s="9">
        <v>2005</v>
      </c>
      <c r="C60" s="9">
        <v>1</v>
      </c>
      <c r="D60" s="9"/>
      <c r="E60" s="9" t="str">
        <f>_xlfn.XLOOKUP(B60,CardData!A:A,CardData!B:B,"")</f>
        <v>洗衣机</v>
      </c>
      <c r="F60" s="9">
        <f>_xlfn.XLOOKUP(B60,CardData!$A:$A,CardData!E:E,"None")</f>
        <v>1</v>
      </c>
    </row>
    <row r="61" spans="1:6">
      <c r="A61" s="9">
        <v>1</v>
      </c>
      <c r="B61" s="9">
        <v>3002</v>
      </c>
      <c r="C61" s="9">
        <v>1</v>
      </c>
      <c r="D61" s="9"/>
      <c r="E61" s="9" t="str">
        <f>_xlfn.XLOOKUP(B61,CardData!A:A,CardData!B:B,"")</f>
        <v>经纪人介绍</v>
      </c>
      <c r="F61" s="9">
        <f>_xlfn.XLOOKUP(B61,CardData!$A:$A,CardData!E:E,"None")</f>
        <v>1</v>
      </c>
    </row>
    <row r="62" spans="1:6">
      <c r="A62" s="9">
        <v>1</v>
      </c>
      <c r="B62" s="9">
        <v>3003</v>
      </c>
      <c r="C62" s="9">
        <v>1</v>
      </c>
      <c r="D62" s="9"/>
      <c r="E62" s="9" t="str">
        <f>_xlfn.XLOOKUP(B62,CardData!A:A,CardData!B:B,"")</f>
        <v>续签</v>
      </c>
      <c r="F62" s="9">
        <f>_xlfn.XLOOKUP(B62,CardData!$A:$A,CardData!E:E,"None")</f>
        <v>1</v>
      </c>
    </row>
    <row r="63" spans="1:6">
      <c r="A63" s="9">
        <v>1</v>
      </c>
      <c r="B63" s="9">
        <v>3004</v>
      </c>
      <c r="C63" s="9">
        <v>1</v>
      </c>
      <c r="D63" s="9"/>
      <c r="E63" s="9" t="str">
        <f>_xlfn.XLOOKUP(B63,CardData!A:A,CardData!B:B,"")</f>
        <v>维修</v>
      </c>
      <c r="F63" s="9">
        <f>_xlfn.XLOOKUP(B63,CardData!$A:$A,CardData!E:E,"None")</f>
        <v>1</v>
      </c>
    </row>
    <row r="64" spans="1:6">
      <c r="A64" s="9">
        <v>1</v>
      </c>
      <c r="B64" s="9">
        <v>1011</v>
      </c>
      <c r="C64" s="9">
        <v>1</v>
      </c>
      <c r="D64" s="9"/>
      <c r="E64" s="9" t="str">
        <f>_xlfn.XLOOKUP(B64,CardData!A:A,CardData!B:B,"")</f>
        <v>工会文员</v>
      </c>
      <c r="F64" s="9">
        <f>_xlfn.XLOOKUP(B64,CardData!$A:$A,CardData!E:E,"None")</f>
        <v>1</v>
      </c>
    </row>
    <row r="65" spans="1:6">
      <c r="A65" s="9">
        <v>1</v>
      </c>
      <c r="B65" s="9">
        <v>2006</v>
      </c>
      <c r="C65" s="9">
        <v>1</v>
      </c>
      <c r="D65" s="9"/>
      <c r="E65" s="9" t="str">
        <f>_xlfn.XLOOKUP(B65,CardData!A:A,CardData!B:B,"")</f>
        <v>租赁账本</v>
      </c>
      <c r="F65" s="9">
        <f>_xlfn.XLOOKUP(B65,CardData!$A:$A,CardData!E:E,"None")</f>
        <v>1</v>
      </c>
    </row>
    <row r="66" spans="1:6">
      <c r="A66" s="9">
        <v>1</v>
      </c>
      <c r="B66" s="9">
        <v>4001</v>
      </c>
      <c r="C66" s="9">
        <v>1</v>
      </c>
      <c r="D66" s="9"/>
      <c r="E66" s="9" t="str">
        <f>_xlfn.XLOOKUP(B66,CardData!A:A,CardData!B:B,"")</f>
        <v>长期租约</v>
      </c>
      <c r="F66" s="9">
        <f>_xlfn.XLOOKUP(B66,CardData!$A:$A,CardData!E:E,"None")</f>
        <v>1</v>
      </c>
    </row>
    <row r="67" spans="1:6">
      <c r="A67" s="9">
        <v>1</v>
      </c>
      <c r="B67" s="9">
        <v>1014</v>
      </c>
      <c r="C67" s="9">
        <v>1</v>
      </c>
      <c r="D67" s="9"/>
      <c r="E67" s="9" t="str">
        <f>_xlfn.XLOOKUP(B67,CardData!A:A,CardData!B:B,"")</f>
        <v>夜骑手</v>
      </c>
      <c r="F67" s="9">
        <f>_xlfn.XLOOKUP(B67,CardData!$A:$A,CardData!E:E,"None")</f>
        <v>1</v>
      </c>
    </row>
    <row r="68" spans="1:6">
      <c r="A68" s="9">
        <v>1</v>
      </c>
      <c r="B68" s="9">
        <v>2007</v>
      </c>
      <c r="C68" s="9">
        <v>1</v>
      </c>
      <c r="D68" s="9"/>
      <c r="E68" s="9" t="str">
        <f>_xlfn.XLOOKUP(B68,CardData!A:A,CardData!B:B,"")</f>
        <v>清仓招牌</v>
      </c>
      <c r="F68" s="9">
        <f>_xlfn.XLOOKUP(B68,CardData!$A:$A,CardData!E:E,"None")</f>
        <v>1</v>
      </c>
    </row>
    <row r="69" spans="1:6">
      <c r="A69" s="9">
        <v>1</v>
      </c>
      <c r="B69" s="9">
        <v>3007</v>
      </c>
      <c r="C69" s="9">
        <v>1</v>
      </c>
      <c r="D69" s="9"/>
      <c r="E69" s="9" t="str">
        <f>_xlfn.XLOOKUP(B69,CardData!A:A,CardData!B:B,"")</f>
        <v>招聘电话</v>
      </c>
      <c r="F69" s="9">
        <f>_xlfn.XLOOKUP(B69,CardData!$A:$A,CardData!E:E,"None")</f>
        <v>1</v>
      </c>
    </row>
    <row r="70" spans="1:6">
      <c r="A70" s="9">
        <v>1</v>
      </c>
      <c r="B70" s="9">
        <v>3008</v>
      </c>
      <c r="C70" s="9">
        <v>1</v>
      </c>
      <c r="D70" s="9"/>
      <c r="E70" s="9" t="str">
        <f>_xlfn.XLOOKUP(B70,CardData!A:A,CardData!B:B,"")</f>
        <v>搬迁令</v>
      </c>
      <c r="F70" s="9">
        <f>_xlfn.XLOOKUP(B70,CardData!$A:$A,CardData!E:E,"None")</f>
        <v>1</v>
      </c>
    </row>
    <row r="71" spans="1:6">
      <c r="A71" s="9">
        <v>1</v>
      </c>
      <c r="B71" s="9">
        <v>1015</v>
      </c>
      <c r="C71" s="9">
        <v>1</v>
      </c>
      <c r="D71" s="9"/>
      <c r="E71" s="9" t="str">
        <f>_xlfn.XLOOKUP(B71,CardData!A:A,CardData!B:B,"")</f>
        <v>万能工</v>
      </c>
      <c r="F71" s="9">
        <f>_xlfn.XLOOKUP(B71,CardData!$A:$A,CardData!E:E,"None")</f>
        <v>1</v>
      </c>
    </row>
    <row r="72" spans="1:6">
      <c r="A72" s="9">
        <v>1</v>
      </c>
      <c r="B72" s="9">
        <v>2008</v>
      </c>
      <c r="C72" s="9">
        <v>1</v>
      </c>
      <c r="D72" s="9"/>
      <c r="E72" s="9" t="str">
        <f>_xlfn.XLOOKUP(B72,CardData!A:A,CardData!B:B,"")</f>
        <v>额外书架</v>
      </c>
      <c r="F72" s="9">
        <f>_xlfn.XLOOKUP(B72,CardData!$A:$A,CardData!E:E,"None")</f>
        <v>1</v>
      </c>
    </row>
    <row r="73" spans="1:6">
      <c r="A73" s="9">
        <v>1</v>
      </c>
      <c r="B73" s="9">
        <v>2009</v>
      </c>
      <c r="C73" s="9">
        <v>1</v>
      </c>
      <c r="D73" s="9"/>
      <c r="E73" s="9" t="str">
        <f>_xlfn.XLOOKUP(B73,CardData!A:A,CardData!B:B,"")</f>
        <v>电源插座</v>
      </c>
      <c r="F73" s="9">
        <f>_xlfn.XLOOKUP(B73,CardData!$A:$A,CardData!E:E,"None")</f>
        <v>1</v>
      </c>
    </row>
    <row r="74" spans="1:6">
      <c r="A74" s="9">
        <v>1</v>
      </c>
      <c r="B74" s="9">
        <v>3009</v>
      </c>
      <c r="C74" s="9">
        <v>1</v>
      </c>
      <c r="D74" s="9"/>
      <c r="E74" s="9" t="str">
        <f>_xlfn.XLOOKUP(B74,CardData!A:A,CardData!B:B,"")</f>
        <v>维修队</v>
      </c>
      <c r="F74" s="9">
        <f>_xlfn.XLOOKUP(B74,CardData!$A:$A,CardData!E:E,"None")</f>
        <v>1</v>
      </c>
    </row>
    <row r="75" spans="1:6">
      <c r="A75" s="9">
        <v>1</v>
      </c>
      <c r="B75" s="9">
        <v>2011</v>
      </c>
      <c r="C75" s="9">
        <v>1</v>
      </c>
      <c r="D75" s="9"/>
      <c r="E75" s="9" t="str">
        <f>_xlfn.XLOOKUP(B75,CardData!A:A,CardData!B:B,"")</f>
        <v>开放屋标志</v>
      </c>
      <c r="F75" s="9">
        <f>_xlfn.XLOOKUP(B75,CardData!$A:$A,CardData!E:E,"None")</f>
        <v>1</v>
      </c>
    </row>
    <row r="76" spans="1:6">
      <c r="A76" s="9">
        <v>1</v>
      </c>
      <c r="B76" s="9">
        <v>4002</v>
      </c>
      <c r="C76" s="9">
        <v>1</v>
      </c>
      <c r="D76" s="9"/>
      <c r="E76" s="9" t="str">
        <f>_xlfn.XLOOKUP(B76,CardData!A:A,CardData!B:B,"")</f>
        <v>空房条款</v>
      </c>
      <c r="F76" s="9">
        <f>_xlfn.XLOOKUP(B76,CardData!$A:$A,CardData!E:E,"None")</f>
        <v>1</v>
      </c>
    </row>
    <row r="77" spans="1:6">
      <c r="A77" s="9">
        <v>1</v>
      </c>
      <c r="B77" s="9">
        <v>1017</v>
      </c>
      <c r="C77" s="9">
        <v>1</v>
      </c>
      <c r="D77" s="9"/>
      <c r="E77" s="9" t="str">
        <f>_xlfn.XLOOKUP(B77,CardData!A:A,CardData!B:B,"")</f>
        <v>楼层规划师</v>
      </c>
      <c r="F77" s="9">
        <f>_xlfn.XLOOKUP(B77,CardData!$A:$A,CardData!E:E,"None")</f>
        <v>1</v>
      </c>
    </row>
    <row r="78" spans="1:6">
      <c r="A78" s="9">
        <v>1</v>
      </c>
      <c r="B78" s="9">
        <v>3012</v>
      </c>
      <c r="C78" s="9">
        <v>1</v>
      </c>
      <c r="D78" s="9"/>
      <c r="E78" s="9" t="str">
        <f>_xlfn.XLOOKUP(B78,CardData!A:A,CardData!B:B,"")</f>
        <v>施工许可</v>
      </c>
      <c r="F78" s="9">
        <f>_xlfn.XLOOKUP(B78,CardData!$A:$A,CardData!E:E,"None")</f>
        <v>1</v>
      </c>
    </row>
    <row r="79" spans="1:6">
      <c r="A79" s="9">
        <v>1</v>
      </c>
      <c r="B79" s="9">
        <v>1019</v>
      </c>
      <c r="C79" s="9">
        <v>1</v>
      </c>
      <c r="D79" s="9"/>
      <c r="E79" s="9" t="str">
        <f>_xlfn.XLOOKUP(B79,CardData!A:A,CardData!B:B,"")</f>
        <v>夜间审计员</v>
      </c>
      <c r="F79" s="9">
        <f>_xlfn.XLOOKUP(B79,CardData!$A:$A,CardData!E:E,"None")</f>
        <v>1</v>
      </c>
    </row>
    <row r="80" spans="1:6">
      <c r="A80" s="9">
        <v>1</v>
      </c>
      <c r="B80" s="9">
        <v>3013</v>
      </c>
      <c r="C80" s="9">
        <v>1</v>
      </c>
      <c r="D80" s="9"/>
      <c r="E80" s="9" t="str">
        <f>_xlfn.XLOOKUP(B80,CardData!A:A,CardData!B:B,"")</f>
        <v>快速结算</v>
      </c>
      <c r="F80" s="9">
        <f>_xlfn.XLOOKUP(B80,CardData!$A:$A,CardData!E:E,"None")</f>
        <v>1</v>
      </c>
    </row>
    <row r="81" spans="1:6">
      <c r="A81" s="9">
        <v>1</v>
      </c>
      <c r="B81" s="9">
        <v>1001</v>
      </c>
      <c r="C81" s="9">
        <v>1</v>
      </c>
      <c r="D81" s="9"/>
      <c r="E81" s="9" t="str">
        <f>_xlfn.XLOOKUP(B81,CardData!A:A,CardData!B:B,"")</f>
        <v>工人</v>
      </c>
      <c r="F81" s="9">
        <f>_xlfn.XLOOKUP(B81,CardData!$A:$A,CardData!E:E,"None")</f>
        <v>0</v>
      </c>
    </row>
    <row r="82" spans="1:6">
      <c r="A82" s="9">
        <v>1</v>
      </c>
      <c r="B82" s="9">
        <v>1005</v>
      </c>
      <c r="C82" s="9">
        <v>1</v>
      </c>
      <c r="D82" s="9"/>
      <c r="E82" s="9" t="str">
        <f>_xlfn.XLOOKUP(B82,CardData!A:A,CardData!B:B,"")</f>
        <v>学生</v>
      </c>
      <c r="F82" s="9">
        <f>_xlfn.XLOOKUP(B82,CardData!$A:$A,CardData!E:E,"None")</f>
        <v>0</v>
      </c>
    </row>
    <row r="83" spans="1:6">
      <c r="A83" s="9">
        <v>1</v>
      </c>
      <c r="B83" s="9">
        <v>1010</v>
      </c>
      <c r="C83" s="9">
        <v>1</v>
      </c>
      <c r="D83" s="9"/>
      <c r="E83" s="9" t="str">
        <f>_xlfn.XLOOKUP(B83,CardData!A:A,CardData!B:B,"")</f>
        <v>快递员</v>
      </c>
      <c r="F83" s="9">
        <f>_xlfn.XLOOKUP(B83,CardData!$A:$A,CardData!E:E,"None")</f>
        <v>0</v>
      </c>
    </row>
    <row r="84" spans="1:6">
      <c r="A84" s="9">
        <v>1</v>
      </c>
      <c r="B84" s="9">
        <v>2003</v>
      </c>
      <c r="C84" s="9">
        <v>1</v>
      </c>
      <c r="D84" s="9"/>
      <c r="E84" s="9" t="str">
        <f>_xlfn.XLOOKUP(B84,CardData!A:A,CardData!B:B,"")</f>
        <v>热水器</v>
      </c>
      <c r="F84" s="9">
        <f>_xlfn.XLOOKUP(B84,CardData!$A:$A,CardData!E:E,"None")</f>
        <v>0</v>
      </c>
    </row>
    <row r="85" spans="1:6">
      <c r="A85" s="9">
        <v>1</v>
      </c>
      <c r="B85" s="9">
        <v>3001</v>
      </c>
      <c r="C85" s="9">
        <v>1</v>
      </c>
      <c r="D85" s="9"/>
      <c r="E85" s="9" t="str">
        <f>_xlfn.XLOOKUP(B85,CardData!A:A,CardData!B:B,"")</f>
        <v>租金奖励</v>
      </c>
      <c r="F85" s="9">
        <f>_xlfn.XLOOKUP(B85,CardData!$A:$A,CardData!E:E,"None")</f>
        <v>0</v>
      </c>
    </row>
    <row r="86" spans="1:6">
      <c r="A86" s="9">
        <v>1</v>
      </c>
      <c r="B86" s="9">
        <v>3006</v>
      </c>
      <c r="C86" s="9">
        <v>1</v>
      </c>
      <c r="D86" s="9"/>
      <c r="E86" s="9" t="str">
        <f>_xlfn.XLOOKUP(B86,CardData!A:A,CardData!B:B,"")</f>
        <v>催租单</v>
      </c>
      <c r="F86" s="9">
        <f>_xlfn.XLOOKUP(B86,CardData!$A:$A,CardData!E:E,"None")</f>
        <v>0</v>
      </c>
    </row>
    <row r="87" spans="1:6">
      <c r="A87" s="9">
        <v>1</v>
      </c>
      <c r="B87" s="9">
        <v>1013</v>
      </c>
      <c r="C87" s="9">
        <v>1</v>
      </c>
      <c r="D87" s="9"/>
      <c r="E87" s="9" t="str">
        <f>_xlfn.XLOOKUP(B87,CardData!A:A,CardData!B:B,"")</f>
        <v>临时工</v>
      </c>
      <c r="F87" s="9">
        <f>_xlfn.XLOOKUP(B87,CardData!$A:$A,CardData!E:E,"None")</f>
        <v>0</v>
      </c>
    </row>
    <row r="88" spans="1:6">
      <c r="A88" s="9">
        <v>1</v>
      </c>
      <c r="B88" s="9">
        <v>1016</v>
      </c>
      <c r="C88" s="9">
        <v>1</v>
      </c>
      <c r="D88" s="9"/>
      <c r="E88" s="9" t="str">
        <f>_xlfn.XLOOKUP(B88,CardData!A:A,CardData!B:B,"")</f>
        <v>转租户</v>
      </c>
      <c r="F88" s="9">
        <f>_xlfn.XLOOKUP(B88,CardData!$A:$A,CardData!E:E,"None")</f>
        <v>0</v>
      </c>
    </row>
    <row r="89" spans="1:6">
      <c r="A89" s="9">
        <v>1</v>
      </c>
      <c r="B89" s="9">
        <v>3010</v>
      </c>
      <c r="C89" s="9">
        <v>1</v>
      </c>
      <c r="D89" s="9"/>
      <c r="E89" s="9" t="str">
        <f>_xlfn.XLOOKUP(B89,CardData!A:A,CardData!B:B,"")</f>
        <v>空房清单</v>
      </c>
      <c r="F89" s="9">
        <f>_xlfn.XLOOKUP(B89,CardData!$A:$A,CardData!E:E,"None")</f>
        <v>0</v>
      </c>
    </row>
    <row r="90" spans="1:6">
      <c r="A90" s="9">
        <v>1</v>
      </c>
      <c r="B90" s="9">
        <v>3011</v>
      </c>
      <c r="C90" s="9">
        <v>1</v>
      </c>
      <c r="D90" s="9"/>
      <c r="E90" s="9" t="str">
        <f>_xlfn.XLOOKUP(B90,CardData!A:A,CardData!B:B,"")</f>
        <v>折扣传单</v>
      </c>
      <c r="F90" s="9">
        <f>_xlfn.XLOOKUP(B90,CardData!$A:$A,CardData!E:E,"None")</f>
        <v>0</v>
      </c>
    </row>
    <row r="91" spans="1:6">
      <c r="A91" s="10">
        <v>2</v>
      </c>
      <c r="B91" s="10">
        <v>1003</v>
      </c>
      <c r="C91" s="10">
        <v>1</v>
      </c>
      <c r="D91" s="10"/>
      <c r="E91" s="10" t="str">
        <f>_xlfn.XLOOKUP(B91,CardData!A:A,CardData!B:B,"")</f>
        <v>程序员</v>
      </c>
      <c r="F91" s="10">
        <f>_xlfn.XLOOKUP(B91,CardData!$A:$A,CardData!E:E,"None")</f>
        <v>2</v>
      </c>
    </row>
    <row r="92" spans="1:6">
      <c r="A92" s="10">
        <v>2</v>
      </c>
      <c r="B92" s="10">
        <v>1006</v>
      </c>
      <c r="C92" s="10">
        <v>1</v>
      </c>
      <c r="D92" s="10"/>
      <c r="E92" s="10" t="str">
        <f>_xlfn.XLOOKUP(B92,CardData!A:A,CardData!B:B,"")</f>
        <v>主播</v>
      </c>
      <c r="F92" s="10">
        <f>_xlfn.XLOOKUP(B92,CardData!$A:$A,CardData!E:E,"None")</f>
        <v>2</v>
      </c>
    </row>
    <row r="93" spans="1:6">
      <c r="A93" s="10">
        <v>2</v>
      </c>
      <c r="B93" s="10">
        <v>1007</v>
      </c>
      <c r="C93" s="10">
        <v>1</v>
      </c>
      <c r="D93" s="10"/>
      <c r="E93" s="10" t="str">
        <f>_xlfn.XLOOKUP(B93,CardData!A:A,CardData!B:B,"")</f>
        <v>医生</v>
      </c>
      <c r="F93" s="10">
        <f>_xlfn.XLOOKUP(B93,CardData!$A:$A,CardData!E:E,"None")</f>
        <v>2</v>
      </c>
    </row>
    <row r="94" spans="1:6">
      <c r="A94" s="10">
        <v>2</v>
      </c>
      <c r="B94" s="10">
        <v>2002</v>
      </c>
      <c r="C94" s="10">
        <v>1</v>
      </c>
      <c r="D94" s="10"/>
      <c r="E94" s="10" t="str">
        <f>_xlfn.XLOOKUP(B94,CardData!A:A,CardData!B:B,"")</f>
        <v>双层床</v>
      </c>
      <c r="F94" s="10">
        <f>_xlfn.XLOOKUP(B94,CardData!$A:$A,CardData!E:E,"None")</f>
        <v>2</v>
      </c>
    </row>
    <row r="95" spans="1:6">
      <c r="A95" s="10">
        <v>2</v>
      </c>
      <c r="B95" s="10">
        <v>3005</v>
      </c>
      <c r="C95" s="10">
        <v>1</v>
      </c>
      <c r="D95" s="10"/>
      <c r="E95" s="10" t="str">
        <f>_xlfn.XLOOKUP(B95,CardData!A:A,CardData!B:B,"")</f>
        <v>应急贷款</v>
      </c>
      <c r="F95" s="10">
        <f>_xlfn.XLOOKUP(B95,CardData!$A:$A,CardData!E:E,"None")</f>
        <v>2</v>
      </c>
    </row>
    <row r="96" spans="1:6">
      <c r="A96" s="10">
        <v>2</v>
      </c>
      <c r="B96" s="10">
        <v>1012</v>
      </c>
      <c r="C96" s="10">
        <v>1</v>
      </c>
      <c r="D96" s="10"/>
      <c r="E96" s="10" t="str">
        <f>_xlfn.XLOOKUP(B96,CardData!A:A,CardData!B:B,"")</f>
        <v>夜班护士</v>
      </c>
      <c r="F96" s="10">
        <f>_xlfn.XLOOKUP(B96,CardData!$A:$A,CardData!E:E,"None")</f>
        <v>2</v>
      </c>
    </row>
    <row r="97" spans="1:6">
      <c r="A97" s="10">
        <v>2</v>
      </c>
      <c r="B97" s="10">
        <v>2010</v>
      </c>
      <c r="C97" s="10">
        <v>1</v>
      </c>
      <c r="D97" s="10"/>
      <c r="E97" s="10" t="str">
        <f>_xlfn.XLOOKUP(B97,CardData!A:A,CardData!B:B,"")</f>
        <v>洗衣堆</v>
      </c>
      <c r="F97" s="10">
        <f>_xlfn.XLOOKUP(B97,CardData!$A:$A,CardData!E:E,"None")</f>
        <v>2</v>
      </c>
    </row>
    <row r="98" spans="1:6">
      <c r="A98" s="10">
        <v>2</v>
      </c>
      <c r="B98" s="10">
        <v>1018</v>
      </c>
      <c r="C98" s="10">
        <v>1</v>
      </c>
      <c r="D98" s="10"/>
      <c r="E98" s="10" t="str">
        <f>_xlfn.XLOOKUP(B98,CardData!A:A,CardData!B:B,"")</f>
        <v>装修负责人</v>
      </c>
      <c r="F98" s="10">
        <f>_xlfn.XLOOKUP(B98,CardData!$A:$A,CardData!E:E,"None")</f>
        <v>2</v>
      </c>
    </row>
    <row r="99" spans="1:6">
      <c r="A99" s="10">
        <v>2</v>
      </c>
      <c r="B99" s="10">
        <v>2012</v>
      </c>
      <c r="C99" s="10">
        <v>1</v>
      </c>
      <c r="D99" s="10"/>
      <c r="E99" s="10" t="str">
        <f>_xlfn.XLOOKUP(B99,CardData!A:A,CardData!B:B,"")</f>
        <v>隔断墙</v>
      </c>
      <c r="F99" s="10">
        <f>_xlfn.XLOOKUP(B99,CardData!$A:$A,CardData!E:E,"None")</f>
        <v>2</v>
      </c>
    </row>
    <row r="100" spans="1:6">
      <c r="A100" s="10">
        <v>2</v>
      </c>
      <c r="B100" s="10">
        <v>4003</v>
      </c>
      <c r="C100" s="10">
        <v>1</v>
      </c>
      <c r="D100" s="10"/>
      <c r="E100" s="10" t="str">
        <f>_xlfn.XLOOKUP(B100,CardData!A:A,CardData!B:B,"")</f>
        <v>蓝图交易</v>
      </c>
      <c r="F100" s="10">
        <f>_xlfn.XLOOKUP(B100,CardData!$A:$A,CardData!E:E,"None")</f>
        <v>2</v>
      </c>
    </row>
    <row r="101" spans="1:6">
      <c r="A101" s="10">
        <v>2</v>
      </c>
      <c r="B101" s="10">
        <v>1020</v>
      </c>
      <c r="C101" s="10">
        <v>1</v>
      </c>
      <c r="D101" s="10"/>
      <c r="E101" s="10" t="str">
        <f>_xlfn.XLOOKUP(B101,CardData!A:A,CardData!B:B,"")</f>
        <v>闪电经纪人</v>
      </c>
      <c r="F101" s="10">
        <f>_xlfn.XLOOKUP(B101,CardData!$A:$A,CardData!E:E,"None")</f>
        <v>2</v>
      </c>
    </row>
    <row r="102" spans="1:6">
      <c r="A102" s="10">
        <v>2</v>
      </c>
      <c r="B102" s="10">
        <v>2013</v>
      </c>
      <c r="C102" s="10">
        <v>1</v>
      </c>
      <c r="D102" s="10"/>
      <c r="E102" s="10" t="str">
        <f>_xlfn.XLOOKUP(B102,CardData!A:A,CardData!B:B,"")</f>
        <v>涡轮计价表</v>
      </c>
      <c r="F102" s="10">
        <f>_xlfn.XLOOKUP(B102,CardData!$A:$A,CardData!E:E,"None")</f>
        <v>2</v>
      </c>
    </row>
    <row r="103" spans="1:6">
      <c r="A103" s="10">
        <v>2</v>
      </c>
      <c r="B103" s="10">
        <v>4004</v>
      </c>
      <c r="C103" s="10">
        <v>1</v>
      </c>
      <c r="D103" s="10"/>
      <c r="E103" s="10" t="str">
        <f>_xlfn.XLOOKUP(B103,CardData!A:A,CardData!B:B,"")</f>
        <v>最终对账</v>
      </c>
      <c r="F103" s="10">
        <f>_xlfn.XLOOKUP(B103,CardData!$A:$A,CardData!E:E,"None")</f>
        <v>2</v>
      </c>
    </row>
    <row r="104" spans="1:6">
      <c r="A104" s="10">
        <v>2</v>
      </c>
      <c r="B104" s="10">
        <v>1002</v>
      </c>
      <c r="C104" s="10">
        <v>1</v>
      </c>
      <c r="D104" s="10"/>
      <c r="E104" s="10" t="str">
        <f>_xlfn.XLOOKUP(B104,CardData!A:A,CardData!B:B,"")</f>
        <v>白领</v>
      </c>
      <c r="F104" s="10">
        <f>_xlfn.XLOOKUP(B104,CardData!$A:$A,CardData!E:E,"None")</f>
        <v>1</v>
      </c>
    </row>
    <row r="105" spans="1:6">
      <c r="A105" s="10">
        <v>2</v>
      </c>
      <c r="B105" s="10">
        <v>1004</v>
      </c>
      <c r="C105" s="10">
        <v>1</v>
      </c>
      <c r="D105" s="10"/>
      <c r="E105" s="10" t="str">
        <f>_xlfn.XLOOKUP(B105,CardData!A:A,CardData!B:B,"")</f>
        <v>高级教师</v>
      </c>
      <c r="F105" s="10">
        <f>_xlfn.XLOOKUP(B105,CardData!$A:$A,CardData!E:E,"None")</f>
        <v>1</v>
      </c>
    </row>
    <row r="106" spans="1:6">
      <c r="A106" s="10">
        <v>2</v>
      </c>
      <c r="B106" s="10">
        <v>1008</v>
      </c>
      <c r="C106" s="10">
        <v>1</v>
      </c>
      <c r="D106" s="10"/>
      <c r="E106" s="10" t="str">
        <f>_xlfn.XLOOKUP(B106,CardData!A:A,CardData!B:B,"")</f>
        <v>厨师</v>
      </c>
      <c r="F106" s="10">
        <f>_xlfn.XLOOKUP(B106,CardData!$A:$A,CardData!E:E,"None")</f>
        <v>1</v>
      </c>
    </row>
    <row r="107" spans="1:6">
      <c r="A107" s="10">
        <v>2</v>
      </c>
      <c r="B107" s="10">
        <v>1009</v>
      </c>
      <c r="C107" s="10">
        <v>1</v>
      </c>
      <c r="D107" s="10"/>
      <c r="E107" s="10" t="str">
        <f>_xlfn.XLOOKUP(B107,CardData!A:A,CardData!B:B,"")</f>
        <v>画家</v>
      </c>
      <c r="F107" s="10">
        <f>_xlfn.XLOOKUP(B107,CardData!$A:$A,CardData!E:E,"None")</f>
        <v>1</v>
      </c>
    </row>
    <row r="108" spans="1:6">
      <c r="A108" s="10">
        <v>2</v>
      </c>
      <c r="B108" s="10">
        <v>2001</v>
      </c>
      <c r="C108" s="10">
        <v>1</v>
      </c>
      <c r="D108" s="10"/>
      <c r="E108" s="10" t="str">
        <f>_xlfn.XLOOKUP(B108,CardData!A:A,CardData!B:B,"")</f>
        <v>空调</v>
      </c>
      <c r="F108" s="10">
        <f>_xlfn.XLOOKUP(B108,CardData!$A:$A,CardData!E:E,"None")</f>
        <v>1</v>
      </c>
    </row>
    <row r="109" spans="1:6">
      <c r="A109" s="10">
        <v>2</v>
      </c>
      <c r="B109" s="10">
        <v>2004</v>
      </c>
      <c r="C109" s="10">
        <v>1</v>
      </c>
      <c r="D109" s="10"/>
      <c r="E109" s="10" t="str">
        <f>_xlfn.XLOOKUP(B109,CardData!A:A,CardData!B:B,"")</f>
        <v>WiFi路由器</v>
      </c>
      <c r="F109" s="10">
        <f>_xlfn.XLOOKUP(B109,CardData!$A:$A,CardData!E:E,"None")</f>
        <v>1</v>
      </c>
    </row>
    <row r="110" spans="1:6">
      <c r="A110" s="10">
        <v>2</v>
      </c>
      <c r="B110" s="10">
        <v>2005</v>
      </c>
      <c r="C110" s="10">
        <v>1</v>
      </c>
      <c r="D110" s="10"/>
      <c r="E110" s="10" t="str">
        <f>_xlfn.XLOOKUP(B110,CardData!A:A,CardData!B:B,"")</f>
        <v>洗衣机</v>
      </c>
      <c r="F110" s="10">
        <f>_xlfn.XLOOKUP(B110,CardData!$A:$A,CardData!E:E,"None")</f>
        <v>1</v>
      </c>
    </row>
    <row r="111" spans="1:6">
      <c r="A111" s="10">
        <v>2</v>
      </c>
      <c r="B111" s="10">
        <v>3002</v>
      </c>
      <c r="C111" s="10">
        <v>1</v>
      </c>
      <c r="D111" s="10"/>
      <c r="E111" s="10" t="str">
        <f>_xlfn.XLOOKUP(B111,CardData!A:A,CardData!B:B,"")</f>
        <v>经纪人介绍</v>
      </c>
      <c r="F111" s="10">
        <f>_xlfn.XLOOKUP(B111,CardData!$A:$A,CardData!E:E,"None")</f>
        <v>1</v>
      </c>
    </row>
    <row r="112" spans="1:6">
      <c r="A112" s="10">
        <v>2</v>
      </c>
      <c r="B112" s="10">
        <v>3003</v>
      </c>
      <c r="C112" s="10">
        <v>1</v>
      </c>
      <c r="D112" s="10"/>
      <c r="E112" s="10" t="str">
        <f>_xlfn.XLOOKUP(B112,CardData!A:A,CardData!B:B,"")</f>
        <v>续签</v>
      </c>
      <c r="F112" s="10">
        <f>_xlfn.XLOOKUP(B112,CardData!$A:$A,CardData!E:E,"None")</f>
        <v>1</v>
      </c>
    </row>
    <row r="113" spans="1:6">
      <c r="A113" s="10">
        <v>2</v>
      </c>
      <c r="B113" s="10">
        <v>3004</v>
      </c>
      <c r="C113" s="10">
        <v>1</v>
      </c>
      <c r="D113" s="10"/>
      <c r="E113" s="10" t="str">
        <f>_xlfn.XLOOKUP(B113,CardData!A:A,CardData!B:B,"")</f>
        <v>维修</v>
      </c>
      <c r="F113" s="10">
        <f>_xlfn.XLOOKUP(B113,CardData!$A:$A,CardData!E:E,"None")</f>
        <v>1</v>
      </c>
    </row>
    <row r="114" spans="1:6">
      <c r="A114" s="10">
        <v>2</v>
      </c>
      <c r="B114" s="10">
        <v>1011</v>
      </c>
      <c r="C114" s="10">
        <v>1</v>
      </c>
      <c r="D114" s="10"/>
      <c r="E114" s="10" t="str">
        <f>_xlfn.XLOOKUP(B114,CardData!A:A,CardData!B:B,"")</f>
        <v>工会文员</v>
      </c>
      <c r="F114" s="10">
        <f>_xlfn.XLOOKUP(B114,CardData!$A:$A,CardData!E:E,"None")</f>
        <v>1</v>
      </c>
    </row>
    <row r="115" spans="1:6">
      <c r="A115" s="10">
        <v>2</v>
      </c>
      <c r="B115" s="10">
        <v>2006</v>
      </c>
      <c r="C115" s="10">
        <v>1</v>
      </c>
      <c r="D115" s="10"/>
      <c r="E115" s="10" t="str">
        <f>_xlfn.XLOOKUP(B115,CardData!A:A,CardData!B:B,"")</f>
        <v>租赁账本</v>
      </c>
      <c r="F115" s="10">
        <f>_xlfn.XLOOKUP(B115,CardData!$A:$A,CardData!E:E,"None")</f>
        <v>1</v>
      </c>
    </row>
    <row r="116" spans="1:6">
      <c r="A116" s="10">
        <v>2</v>
      </c>
      <c r="B116" s="10">
        <v>4001</v>
      </c>
      <c r="C116" s="10">
        <v>1</v>
      </c>
      <c r="D116" s="10"/>
      <c r="E116" s="10" t="str">
        <f>_xlfn.XLOOKUP(B116,CardData!A:A,CardData!B:B,"")</f>
        <v>长期租约</v>
      </c>
      <c r="F116" s="10">
        <f>_xlfn.XLOOKUP(B116,CardData!$A:$A,CardData!E:E,"None")</f>
        <v>1</v>
      </c>
    </row>
    <row r="117" spans="1:6">
      <c r="A117" s="10">
        <v>2</v>
      </c>
      <c r="B117" s="10">
        <v>1014</v>
      </c>
      <c r="C117" s="10">
        <v>1</v>
      </c>
      <c r="D117" s="10"/>
      <c r="E117" s="10" t="str">
        <f>_xlfn.XLOOKUP(B117,CardData!A:A,CardData!B:B,"")</f>
        <v>夜骑手</v>
      </c>
      <c r="F117" s="10">
        <f>_xlfn.XLOOKUP(B117,CardData!$A:$A,CardData!E:E,"None")</f>
        <v>1</v>
      </c>
    </row>
    <row r="118" spans="1:6">
      <c r="A118" s="10">
        <v>2</v>
      </c>
      <c r="B118" s="10">
        <v>2007</v>
      </c>
      <c r="C118" s="10">
        <v>1</v>
      </c>
      <c r="D118" s="10"/>
      <c r="E118" s="10" t="str">
        <f>_xlfn.XLOOKUP(B118,CardData!A:A,CardData!B:B,"")</f>
        <v>清仓招牌</v>
      </c>
      <c r="F118" s="10">
        <f>_xlfn.XLOOKUP(B118,CardData!$A:$A,CardData!E:E,"None")</f>
        <v>1</v>
      </c>
    </row>
    <row r="119" spans="1:6">
      <c r="A119" s="10">
        <v>2</v>
      </c>
      <c r="B119" s="10">
        <v>3007</v>
      </c>
      <c r="C119" s="10">
        <v>1</v>
      </c>
      <c r="D119" s="10"/>
      <c r="E119" s="10" t="str">
        <f>_xlfn.XLOOKUP(B119,CardData!A:A,CardData!B:B,"")</f>
        <v>招聘电话</v>
      </c>
      <c r="F119" s="10">
        <f>_xlfn.XLOOKUP(B119,CardData!$A:$A,CardData!E:E,"None")</f>
        <v>1</v>
      </c>
    </row>
    <row r="120" spans="1:6">
      <c r="A120" s="10">
        <v>2</v>
      </c>
      <c r="B120" s="10">
        <v>3008</v>
      </c>
      <c r="C120" s="10">
        <v>1</v>
      </c>
      <c r="D120" s="10"/>
      <c r="E120" s="10" t="str">
        <f>_xlfn.XLOOKUP(B120,CardData!A:A,CardData!B:B,"")</f>
        <v>搬迁令</v>
      </c>
      <c r="F120" s="10">
        <f>_xlfn.XLOOKUP(B120,CardData!$A:$A,CardData!E:E,"None")</f>
        <v>1</v>
      </c>
    </row>
    <row r="121" spans="1:6">
      <c r="A121" s="10">
        <v>2</v>
      </c>
      <c r="B121" s="10">
        <v>1015</v>
      </c>
      <c r="C121" s="10">
        <v>1</v>
      </c>
      <c r="D121" s="10"/>
      <c r="E121" s="10" t="str">
        <f>_xlfn.XLOOKUP(B121,CardData!A:A,CardData!B:B,"")</f>
        <v>万能工</v>
      </c>
      <c r="F121" s="10">
        <f>_xlfn.XLOOKUP(B121,CardData!$A:$A,CardData!E:E,"None")</f>
        <v>1</v>
      </c>
    </row>
    <row r="122" spans="1:6">
      <c r="A122" s="10">
        <v>2</v>
      </c>
      <c r="B122" s="10">
        <v>2008</v>
      </c>
      <c r="C122" s="10">
        <v>1</v>
      </c>
      <c r="D122" s="10"/>
      <c r="E122" s="10" t="str">
        <f>_xlfn.XLOOKUP(B122,CardData!A:A,CardData!B:B,"")</f>
        <v>额外书架</v>
      </c>
      <c r="F122" s="10">
        <f>_xlfn.XLOOKUP(B122,CardData!$A:$A,CardData!E:E,"None")</f>
        <v>1</v>
      </c>
    </row>
    <row r="123" spans="1:6">
      <c r="A123" s="10">
        <v>2</v>
      </c>
      <c r="B123" s="10">
        <v>2009</v>
      </c>
      <c r="C123" s="10">
        <v>1</v>
      </c>
      <c r="D123" s="10"/>
      <c r="E123" s="10" t="str">
        <f>_xlfn.XLOOKUP(B123,CardData!A:A,CardData!B:B,"")</f>
        <v>电源插座</v>
      </c>
      <c r="F123" s="10">
        <f>_xlfn.XLOOKUP(B123,CardData!$A:$A,CardData!E:E,"None")</f>
        <v>1</v>
      </c>
    </row>
    <row r="124" spans="1:6">
      <c r="A124" s="10">
        <v>2</v>
      </c>
      <c r="B124" s="10">
        <v>3009</v>
      </c>
      <c r="C124" s="10">
        <v>1</v>
      </c>
      <c r="D124" s="10"/>
      <c r="E124" s="10" t="str">
        <f>_xlfn.XLOOKUP(B124,CardData!A:A,CardData!B:B,"")</f>
        <v>维修队</v>
      </c>
      <c r="F124" s="10">
        <f>_xlfn.XLOOKUP(B124,CardData!$A:$A,CardData!E:E,"None")</f>
        <v>1</v>
      </c>
    </row>
    <row r="125" spans="1:6">
      <c r="A125" s="10">
        <v>2</v>
      </c>
      <c r="B125" s="10">
        <v>2011</v>
      </c>
      <c r="C125" s="10">
        <v>1</v>
      </c>
      <c r="D125" s="10"/>
      <c r="E125" s="10" t="str">
        <f>_xlfn.XLOOKUP(B125,CardData!A:A,CardData!B:B,"")</f>
        <v>开放屋标志</v>
      </c>
      <c r="F125" s="10">
        <f>_xlfn.XLOOKUP(B125,CardData!$A:$A,CardData!E:E,"None")</f>
        <v>1</v>
      </c>
    </row>
    <row r="126" spans="1:6">
      <c r="A126" s="10">
        <v>2</v>
      </c>
      <c r="B126" s="10">
        <v>4002</v>
      </c>
      <c r="C126" s="10">
        <v>1</v>
      </c>
      <c r="D126" s="10"/>
      <c r="E126" s="10" t="str">
        <f>_xlfn.XLOOKUP(B126,CardData!A:A,CardData!B:B,"")</f>
        <v>空房条款</v>
      </c>
      <c r="F126" s="10">
        <f>_xlfn.XLOOKUP(B126,CardData!$A:$A,CardData!E:E,"None")</f>
        <v>1</v>
      </c>
    </row>
    <row r="127" spans="1:6">
      <c r="A127" s="10">
        <v>2</v>
      </c>
      <c r="B127" s="10">
        <v>1017</v>
      </c>
      <c r="C127" s="10">
        <v>1</v>
      </c>
      <c r="D127" s="10"/>
      <c r="E127" s="10" t="str">
        <f>_xlfn.XLOOKUP(B127,CardData!A:A,CardData!B:B,"")</f>
        <v>楼层规划师</v>
      </c>
      <c r="F127" s="10">
        <f>_xlfn.XLOOKUP(B127,CardData!$A:$A,CardData!E:E,"None")</f>
        <v>1</v>
      </c>
    </row>
    <row r="128" spans="1:6">
      <c r="A128" s="10">
        <v>2</v>
      </c>
      <c r="B128" s="10">
        <v>3012</v>
      </c>
      <c r="C128" s="10">
        <v>1</v>
      </c>
      <c r="D128" s="10"/>
      <c r="E128" s="10" t="str">
        <f>_xlfn.XLOOKUP(B128,CardData!A:A,CardData!B:B,"")</f>
        <v>施工许可</v>
      </c>
      <c r="F128" s="10">
        <f>_xlfn.XLOOKUP(B128,CardData!$A:$A,CardData!E:E,"None")</f>
        <v>1</v>
      </c>
    </row>
    <row r="129" spans="1:6">
      <c r="A129" s="10">
        <v>2</v>
      </c>
      <c r="B129" s="10">
        <v>1019</v>
      </c>
      <c r="C129" s="10">
        <v>1</v>
      </c>
      <c r="D129" s="10"/>
      <c r="E129" s="10" t="str">
        <f>_xlfn.XLOOKUP(B129,CardData!A:A,CardData!B:B,"")</f>
        <v>夜间审计员</v>
      </c>
      <c r="F129" s="10">
        <f>_xlfn.XLOOKUP(B129,CardData!$A:$A,CardData!E:E,"None")</f>
        <v>1</v>
      </c>
    </row>
    <row r="130" spans="1:6">
      <c r="A130" s="10">
        <v>2</v>
      </c>
      <c r="B130" s="10">
        <v>3013</v>
      </c>
      <c r="C130" s="10">
        <v>1</v>
      </c>
      <c r="D130" s="10"/>
      <c r="E130" s="10" t="str">
        <f>_xlfn.XLOOKUP(B130,CardData!A:A,CardData!B:B,"")</f>
        <v>快速结算</v>
      </c>
      <c r="F130" s="10">
        <f>_xlfn.XLOOKUP(B130,CardData!$A:$A,CardData!E:E,"None")</f>
        <v>1</v>
      </c>
    </row>
  </sheetData>
  <mergeCells count="3">
    <mergeCell ref="D1:D3"/>
    <mergeCell ref="E1:E3"/>
    <mergeCell ref="F1:F3"/>
  </mergeCells>
  <conditionalFormatting sqref="A4:A1048576">
    <cfRule type="expression" dxfId="0" priority="1">
      <formula>"$A4=0"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CardData</vt:lpstr>
      <vt:lpstr>CardLibrary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Jacky</cp:lastModifiedBy>
  <dcterms:created xsi:type="dcterms:W3CDTF">2026-03-31T09:53:00Z</dcterms:created>
  <dcterms:modified xsi:type="dcterms:W3CDTF">2026-04-18T07:19:09Z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2.5.6</vt:lpwstr>
  </property>
  <property fmtid="{D5CDD505-2E9C-101B-9397-08002B2CF9AE}" pid="4" name="ICV">
    <vt:lpwstr>0BD9829233024B1484E53268DECAACFE_12</vt:lpwstr>
  </property>
  <property fmtid="{D5CDD505-2E9C-101B-9397-08002B2CF9AE}" pid="5" name="KSOProductBuildVer">
    <vt:lpwstr>2052-12.1.0.25225</vt:lpwstr>
  </property>
  <property fmtid="{D5CDD505-2E9C-101B-9397-08002B2CF9AE}" pid="6" name="CalculationRule">
    <vt:i4>0</vt:i4>
  </property>
</Properties>
</file>